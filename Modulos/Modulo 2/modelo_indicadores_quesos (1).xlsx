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adas" sheetId="1" state="visible" r:id="rId3"/>
    <sheet name="Cálculos" sheetId="2" state="visible" r:id="rId4"/>
    <sheet name="Indicadores" sheetId="3" state="visible" r:id="rId5"/>
    <sheet name="Contraste con capas" sheetId="4" state="visible" r:id="rId6"/>
    <sheet name="Cambios vs versión del equip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<sst xmlns="http://schemas.openxmlformats.org/spreadsheetml/2006/main" count="732" uniqueCount="411">
  <si>
    <t xml:space="preserve">Entradas del modelo (celdas editables)</t>
  </si>
  <si>
    <t xml:space="preserve">Valores ASSUMED alineados con las 12 capas de la línea de quesos (3 tinas, 7 lotes al día, maduración de 150 días). Reemplazar por datos reales cuando existan y actualizar la columna Origen.</t>
  </si>
  <si>
    <t xml:space="preserve">A. Parámetros generales</t>
  </si>
  <si>
    <t xml:space="preserve">ID / ref.</t>
  </si>
  <si>
    <t xml:space="preserve">Parámetro</t>
  </si>
  <si>
    <t xml:space="preserve">Unidad</t>
  </si>
  <si>
    <t xml:space="preserve">Valor</t>
  </si>
  <si>
    <t xml:space="preserve">Origen</t>
  </si>
  <si>
    <t xml:space="preserve">Nota</t>
  </si>
  <si>
    <t xml:space="preserve">DEM-01</t>
  </si>
  <si>
    <t xml:space="preserve">Demanda total de queso</t>
  </si>
  <si>
    <t xml:space="preserve">kg/día</t>
  </si>
  <si>
    <t xml:space="preserve">ASSUMED</t>
  </si>
  <si>
    <t xml:space="preserve">Demanda de ejemplo de las convenciones del modelo. Las capas dicen que capacidad y demanda son independientes; el plan de las capas produce 3.510 kg/día (7 lotes).</t>
  </si>
  <si>
    <t xml:space="preserve">Capa 10</t>
  </si>
  <si>
    <t xml:space="preserve">Turnos por día</t>
  </si>
  <si>
    <t xml:space="preserve">turnos/día</t>
  </si>
  <si>
    <t xml:space="preserve">Capa 9: 2 turnos de 8 h.</t>
  </si>
  <si>
    <t xml:space="preserve">Capa 9 §8</t>
  </si>
  <si>
    <t xml:space="preserve">Horas por turno</t>
  </si>
  <si>
    <t xml:space="preserve">h/turno</t>
  </si>
  <si>
    <t xml:space="preserve">Días operativos por semana</t>
  </si>
  <si>
    <t xml:space="preserve">días/sem</t>
  </si>
  <si>
    <t xml:space="preserve">Capa 9: 6 días de producción por semana.</t>
  </si>
  <si>
    <t xml:space="preserve">Capa 5</t>
  </si>
  <si>
    <t xml:space="preserve">Equipos restrictivos en paralelo (tinas de cuajada)</t>
  </si>
  <si>
    <t xml:space="preserve">unidades</t>
  </si>
  <si>
    <t xml:space="preserve">Capa 5 y Capa 9: 3 tinas de 5.000 L con 4.500 kg útiles.</t>
  </si>
  <si>
    <t xml:space="preserve">Q-TMP-023</t>
  </si>
  <si>
    <t xml:space="preserve">Tiempo de cambio de producto</t>
  </si>
  <si>
    <t xml:space="preserve">min/cambio</t>
  </si>
  <si>
    <t xml:space="preserve">Q-TMP-023 está pendiente en las capas. Supuesto del modelo de indicadores.</t>
  </si>
  <si>
    <t xml:space="preserve">—</t>
  </si>
  <si>
    <t xml:space="preserve">MTBF (tiempo medio entre fallas)</t>
  </si>
  <si>
    <t xml:space="preserve">h</t>
  </si>
  <si>
    <t xml:space="preserve">Supuesto del modelo de indicadores. Junto con MTTR, RE y SE da un OEE cercano a la eficiencia global base de 65 % de la Capa 9.</t>
  </si>
  <si>
    <t xml:space="preserve">MTTR (tiempo medio de reparación)</t>
  </si>
  <si>
    <t xml:space="preserve">Supuesto del modelo de indicadores.</t>
  </si>
  <si>
    <t xml:space="preserve">Tasa de eficiencia RE</t>
  </si>
  <si>
    <t xml:space="preserve">%</t>
  </si>
  <si>
    <t xml:space="preserve">PE = RE × SE. Supuesto del modelo de indicadores.</t>
  </si>
  <si>
    <t xml:space="preserve">Eficiencia en velocidad SE</t>
  </si>
  <si>
    <t xml:space="preserve">SE = tiempo de ciclo diseñado / tiempo de ciclo real.</t>
  </si>
  <si>
    <t xml:space="preserve">Q-RES-001 a 006</t>
  </si>
  <si>
    <t xml:space="preserve">Personas por turno (total de la línea)</t>
  </si>
  <si>
    <t xml:space="preserve">personas</t>
  </si>
  <si>
    <t xml:space="preserve">Capa 10: 10 personas por turno (1 en recepción y tratamiento térmico, 3 en elaboración, 3 en empaque, 1 en calidad, 1 supervisor y 1 en limpieza).</t>
  </si>
  <si>
    <t xml:space="preserve">Densidad de la leche</t>
  </si>
  <si>
    <t xml:space="preserve">kg/L</t>
  </si>
  <si>
    <t xml:space="preserve">REFERENCE</t>
  </si>
  <si>
    <t xml:space="preserve">Valor usado en el análisis de UHT y en las capas (Capa 1).</t>
  </si>
  <si>
    <t xml:space="preserve">B. Parámetros por producto</t>
  </si>
  <si>
    <t xml:space="preserve">Campesino (Q-PRD-001)</t>
  </si>
  <si>
    <t xml:space="preserve">Mozzarella (Q-PRD-002)</t>
  </si>
  <si>
    <t xml:space="preserve">Sopó (Q-PRD-003)</t>
  </si>
  <si>
    <t xml:space="preserve">DEM-02</t>
  </si>
  <si>
    <t xml:space="preserve">Mezcla de demanda</t>
  </si>
  <si>
    <t xml:space="preserve">CALCULATED</t>
  </si>
  <si>
    <t xml:space="preserve">Reparto de masa del plan de las capas: 1.620, 990 y 900 kg de 3.510 kg (46 / 28 / 26 %). Debe sumar 100 %.</t>
  </si>
  <si>
    <t xml:space="preserve">Q-CAP-001</t>
  </si>
  <si>
    <t xml:space="preserve">Tamaño de lote (leche procesada)</t>
  </si>
  <si>
    <t xml:space="preserve">kg leche/lote</t>
  </si>
  <si>
    <t xml:space="preserve">Capa 9: 4.500 kg de leche por lote (≈ 4.370 L).</t>
  </si>
  <si>
    <t xml:space="preserve">Q-CAP-011</t>
  </si>
  <si>
    <t xml:space="preserve">Rendimiento del proceso</t>
  </si>
  <si>
    <t xml:space="preserve">kg queso/kg leche</t>
  </si>
  <si>
    <t xml:space="preserve">Capa 9: 540, 495 y 450 kg de queso por lote; ponderado 0,111.</t>
  </si>
  <si>
    <t xml:space="preserve">Rechazo / producto defectuoso</t>
  </si>
  <si>
    <t xml:space="preserve">No está en las capas. Supuesto del modelo de indicadores: Q = 1 − rechazo.</t>
  </si>
  <si>
    <t xml:space="preserve">Q-TMP-026</t>
  </si>
  <si>
    <t xml:space="preserve">Ocupación de la tina, sin preparación ni limpieza</t>
  </si>
  <si>
    <t xml:space="preserve">h/lote</t>
  </si>
  <si>
    <t xml:space="preserve">Capa 8: la tina se ocupa 224 min (campesino y mozzarella) y 254 min (Sopó). Se restan los 50 min de CIP: 174 y 204 min.</t>
  </si>
  <si>
    <t xml:space="preserve">Q-TMP-021</t>
  </si>
  <si>
    <t xml:space="preserve">Preparación del equipo</t>
  </si>
  <si>
    <t xml:space="preserve">min/lote</t>
  </si>
  <si>
    <t xml:space="preserve">Capa 8: va incluida en el llenado de la tina (54 min con el tratamiento térmico).</t>
  </si>
  <si>
    <t xml:space="preserve">Q-TMP-022</t>
  </si>
  <si>
    <t xml:space="preserve">Limpieza del equipo (CIP)</t>
  </si>
  <si>
    <t xml:space="preserve">Capa 8: CIP de la tina, 50 min por lote.</t>
  </si>
  <si>
    <t xml:space="preserve">Q-TMP-003</t>
  </si>
  <si>
    <t xml:space="preserve">Almacenamiento de leche antes del proceso</t>
  </si>
  <si>
    <t xml:space="preserve">Capa 8: ≈ 12 h en promedio a ≤ 4 °C.</t>
  </si>
  <si>
    <t xml:space="preserve">Q-TMP-027*</t>
  </si>
  <si>
    <t xml:space="preserve">Fabricación activa del lote (sin enfriamiento, maduración ni liberación)</t>
  </si>
  <si>
    <t xml:space="preserve">CALCULATED / ASSUMED</t>
  </si>
  <si>
    <t xml:space="preserve">Capa 8: ≈ 4,2 h (campesino) y ≈ 41,1 h (Sopó, incluye ≈ 36 h de salmuera). Mozzarella: 4,2 h más ≈ 1 h de estirado.</t>
  </si>
  <si>
    <t xml:space="preserve">Q-TMP-024</t>
  </si>
  <si>
    <t xml:space="preserve">Esperas y oreo</t>
  </si>
  <si>
    <t xml:space="preserve">Capa 8: mozzarella 30 min entre el enfriamiento y el empaque; Sopó, oreo de ≈ 12 h tras la salmuera.</t>
  </si>
  <si>
    <t xml:space="preserve">Q-TMP-017</t>
  </si>
  <si>
    <t xml:space="preserve">Enfriamiento y acondicionamiento</t>
  </si>
  <si>
    <t xml:space="preserve">Capa 8: campesino ≈ 12 h en refrigeración; mozzarella ≈ 75 min; Sopó ≈ 150 min.</t>
  </si>
  <si>
    <t xml:space="preserve">Q-TMP-016</t>
  </si>
  <si>
    <t xml:space="preserve">Maduración</t>
  </si>
  <si>
    <t xml:space="preserve">días</t>
  </si>
  <si>
    <t xml:space="preserve">Capa 8: Sopó ≈ 5 meses (150 días) a 9–11 °C. Solo el Sopó madura.</t>
  </si>
  <si>
    <t xml:space="preserve">Q-TMP-019</t>
  </si>
  <si>
    <t xml:space="preserve">Retención hasta la liberación (producto terminado)</t>
  </si>
  <si>
    <t xml:space="preserve">Capa 8: 3 días (campesino y mozzarella) y 5 días (Sopó).</t>
  </si>
  <si>
    <t xml:space="preserve">Control: suma de la mezcla de demanda</t>
  </si>
  <si>
    <t xml:space="preserve">Cálculos</t>
  </si>
  <si>
    <t xml:space="preserve">Todo son fórmulas; las entradas viven en la hoja Entradas. Resultados válidos solo mientras las entradas sean supuestos.</t>
  </si>
  <si>
    <t xml:space="preserve">1. Demanda, lotes y balance de masa</t>
  </si>
  <si>
    <t xml:space="preserve">Concepto</t>
  </si>
  <si>
    <t xml:space="preserve">Campesino</t>
  </si>
  <si>
    <t xml:space="preserve">Mozzarella</t>
  </si>
  <si>
    <t xml:space="preserve">Sopó</t>
  </si>
  <si>
    <t xml:space="preserve">Línea / total</t>
  </si>
  <si>
    <t xml:space="preserve">Fórmula o nota</t>
  </si>
  <si>
    <t xml:space="preserve">DEM-03</t>
  </si>
  <si>
    <t xml:space="preserve">Demanda del producto</t>
  </si>
  <si>
    <t xml:space="preserve">Demanda total × mezcla</t>
  </si>
  <si>
    <t xml:space="preserve">Leche procesada por lote</t>
  </si>
  <si>
    <t xml:space="preserve">Q-CAP-004</t>
  </si>
  <si>
    <t xml:space="preserve">Producción obtenida por lote</t>
  </si>
  <si>
    <t xml:space="preserve">kg queso/lote</t>
  </si>
  <si>
    <t xml:space="preserve">Leche por lote × rendimiento</t>
  </si>
  <si>
    <t xml:space="preserve">Producción buena por lote</t>
  </si>
  <si>
    <t xml:space="preserve">Descuenta el rechazo</t>
  </si>
  <si>
    <t xml:space="preserve">Lotes requeridos por día (enteros)</t>
  </si>
  <si>
    <t xml:space="preserve">lotes/día</t>
  </si>
  <si>
    <t xml:space="preserve">Se redondea hacia arriba: no se produce medio lote</t>
  </si>
  <si>
    <t xml:space="preserve">Lotes teóricos (continuos)</t>
  </si>
  <si>
    <t xml:space="preserve">Producción buena planificada</t>
  </si>
  <si>
    <t xml:space="preserve">Sobreproducción por lotes enteros</t>
  </si>
  <si>
    <t xml:space="preserve">Leche requerida</t>
  </si>
  <si>
    <t xml:space="preserve">L/día</t>
  </si>
  <si>
    <t xml:space="preserve">Rendimiento del proceso (eficiencia física)</t>
  </si>
  <si>
    <t xml:space="preserve">kg/kg</t>
  </si>
  <si>
    <t xml:space="preserve">Salida MP / entrada MP (García). Total: ponderado por lotes</t>
  </si>
  <si>
    <t xml:space="preserve">Suero y otras salidas (leche − queso)</t>
  </si>
  <si>
    <t xml:space="preserve">Balance de masa: no toda la leche se vuelve queso</t>
  </si>
  <si>
    <t xml:space="preserve">2. Tiempo disponible y OEE (por equipo restrictivo, minutos por día)</t>
  </si>
  <si>
    <t xml:space="preserve">Equipos restrictivos en paralelo (n)</t>
  </si>
  <si>
    <t xml:space="preserve">Tiempo total por equipo (Tt)</t>
  </si>
  <si>
    <t xml:space="preserve">min/día</t>
  </si>
  <si>
    <t xml:space="preserve">Turnos × horas × 60</t>
  </si>
  <si>
    <t xml:space="preserve">Cambios de producto por equipo</t>
  </si>
  <si>
    <t xml:space="preserve">cambios/día</t>
  </si>
  <si>
    <t xml:space="preserve">Productos activos − 1</t>
  </si>
  <si>
    <t xml:space="preserve">Inactividad planeada por equipo (Tip)</t>
  </si>
  <si>
    <t xml:space="preserve">Preparación + limpieza de todos los lotes repartidos entre n equipos, más cambios de producto</t>
  </si>
  <si>
    <t xml:space="preserve">Tiempo de ejecución planeado (Tep = Tt − Tip)</t>
  </si>
  <si>
    <t xml:space="preserve">Disponibilidad A = MTBF / (MTBF + MTTR)</t>
  </si>
  <si>
    <t xml:space="preserve">Equivale a Ter / Tep</t>
  </si>
  <si>
    <t xml:space="preserve">Tiempo de ejecución real (Ter = TD neto)</t>
  </si>
  <si>
    <t xml:space="preserve">Tiempo neto disponible tras paradas planeadas y no planeadas</t>
  </si>
  <si>
    <t xml:space="preserve">Inactividad no planeada (Tnp)</t>
  </si>
  <si>
    <t xml:space="preserve">Eficiencia de desempeño PE = RE × SE</t>
  </si>
  <si>
    <t xml:space="preserve">Tasa de calidad Q (ponderada por lotes)</t>
  </si>
  <si>
    <t xml:space="preserve">(producción − defectuosos) / producción</t>
  </si>
  <si>
    <t xml:space="preserve">OEE = A × PE × Q</t>
  </si>
  <si>
    <t xml:space="preserve">OEE de la línea con supuestos globales (MTBF, MTTR, RE, SE y rechazo iguales para los tres productos); por eso saldría igual por producto. No es una medición.</t>
  </si>
  <si>
    <t xml:space="preserve">3. Takt y tiempo de ciclo</t>
  </si>
  <si>
    <t xml:space="preserve">Demanda en lotes (D)</t>
  </si>
  <si>
    <t xml:space="preserve">Takt T = TD / D</t>
  </si>
  <si>
    <t xml:space="preserve">Tiempo neto disponible por equipo ÷ lotes requeridos</t>
  </si>
  <si>
    <t xml:space="preserve">Takt por kg</t>
  </si>
  <si>
    <t xml:space="preserve">s/kg</t>
  </si>
  <si>
    <t xml:space="preserve">Tiempo de ocupación diseñado (promedio ponderado)</t>
  </si>
  <si>
    <t xml:space="preserve">Tiempo de ocupación real (÷ PE)</t>
  </si>
  <si>
    <t xml:space="preserve">SE = tiempo diseñado / tiempo real</t>
  </si>
  <si>
    <t xml:space="preserve">Tc</t>
  </si>
  <si>
    <t xml:space="preserve">Ciclo efectivo de la etapa restrictiva (÷ n)</t>
  </si>
  <si>
    <t xml:space="preserve">Con n equipos en paralelo sale un lote cada Tc</t>
  </si>
  <si>
    <t xml:space="preserve">Margen Takt − Tc</t>
  </si>
  <si>
    <t xml:space="preserve">¿Cumple el Takt?</t>
  </si>
  <si>
    <t xml:space="preserve">texto</t>
  </si>
  <si>
    <t xml:space="preserve">Solo se evalúa la etapa restrictiva compartida: las tinas (n = 3). El empaque, la prensa y el pasteurizador no entran en esta comprobación; el empaque se mide aparte, por empacadora.</t>
  </si>
  <si>
    <t xml:space="preserve">4. Capacidad y utilización</t>
  </si>
  <si>
    <t xml:space="preserve">Q-CAP-002</t>
  </si>
  <si>
    <t xml:space="preserve">Capacidad nominal por equipo</t>
  </si>
  <si>
    <t xml:space="preserve">kg leche/h</t>
  </si>
  <si>
    <t xml:space="preserve">Leche por lote ÷ tiempo de ocupación (Ecuación 1 de la capa 9)</t>
  </si>
  <si>
    <t xml:space="preserve">Q-CAP-003</t>
  </si>
  <si>
    <t xml:space="preserve">Capacidad efectiva por equipo</t>
  </si>
  <si>
    <t xml:space="preserve">kg queso bueno/h</t>
  </si>
  <si>
    <t xml:space="preserve">Incluye PE, preparación y limpieza</t>
  </si>
  <si>
    <t xml:space="preserve">Lotes completos por turno, producto dedicado (Ecuación 2)</t>
  </si>
  <si>
    <t xml:space="preserve">lotes/turno</t>
  </si>
  <si>
    <t xml:space="preserve">n × ⌊horas por turno / ciclo⌋. Es conservador: un ciclo puede cruzar el cambio de turno</t>
  </si>
  <si>
    <t xml:space="preserve">Q-CAP-006</t>
  </si>
  <si>
    <t xml:space="preserve">Producción por turno, producto dedicado (Ecuación 3)</t>
  </si>
  <si>
    <t xml:space="preserve">kg/turno</t>
  </si>
  <si>
    <t xml:space="preserve">Q-CAP-007</t>
  </si>
  <si>
    <t xml:space="preserve">Producción diaria, producto dedicado</t>
  </si>
  <si>
    <t xml:space="preserve">Capacidad semanal PC, producto dedicado</t>
  </si>
  <si>
    <t xml:space="preserve">kg/semana</t>
  </si>
  <si>
    <t xml:space="preserve">Q-CAP-012</t>
  </si>
  <si>
    <t xml:space="preserve">Capacidad de la línea con la mezcla planificada, en operación</t>
  </si>
  <si>
    <t xml:space="preserve">kg/h</t>
  </si>
  <si>
    <t xml:space="preserve">Producción planificada ÷ horas de línea necesarias</t>
  </si>
  <si>
    <t xml:space="preserve">Tiempo neto de producción de la línea</t>
  </si>
  <si>
    <t xml:space="preserve">h/día</t>
  </si>
  <si>
    <t xml:space="preserve">Descuenta cambios de producto y fallas</t>
  </si>
  <si>
    <t xml:space="preserve">Capacidad diaria con la mezcla planificada</t>
  </si>
  <si>
    <t xml:space="preserve">Capacidad por turno con la mezcla planificada</t>
  </si>
  <si>
    <t xml:space="preserve">Q-CAP-005</t>
  </si>
  <si>
    <t xml:space="preserve">Capacidad por hora de calendario</t>
  </si>
  <si>
    <t xml:space="preserve">PC</t>
  </si>
  <si>
    <t xml:space="preserve">Capacidad nominal PC = n · S · H · Rp</t>
  </si>
  <si>
    <t xml:space="preserve">Rp = producción buena por hora de ocupación diseñada; no descuenta pérdidas</t>
  </si>
  <si>
    <t xml:space="preserve">U</t>
  </si>
  <si>
    <t xml:space="preserve">Utilización U = Q / PC (curso)</t>
  </si>
  <si>
    <t xml:space="preserve">Producción planificada sobre capacidad nominal</t>
  </si>
  <si>
    <t xml:space="preserve">Q-CAP-010</t>
  </si>
  <si>
    <t xml:space="preserve">Utilización del equipo (uso efectivo / disponibilidad)</t>
  </si>
  <si>
    <t xml:space="preserve">Ocupación real de los equipos sobre su tiempo neto disponible Ter</t>
  </si>
  <si>
    <t xml:space="preserve">5. MLT, valor agregado y WIP</t>
  </si>
  <si>
    <t xml:space="preserve">Alistamiento Tsu</t>
  </si>
  <si>
    <t xml:space="preserve">Preparación del equipo; en las capas va incluida en el llenado de la tina</t>
  </si>
  <si>
    <t xml:space="preserve">Fabricación activa</t>
  </si>
  <si>
    <t xml:space="preserve">Sin enfriamiento, maduración ni liberación</t>
  </si>
  <si>
    <t xml:space="preserve">Esperas, transferencias y oreo Tno</t>
  </si>
  <si>
    <t xml:space="preserve">Tiempo de no operación (Tno) del curso</t>
  </si>
  <si>
    <t xml:space="preserve">Días × 24</t>
  </si>
  <si>
    <t xml:space="preserve">Retención hasta la liberación</t>
  </si>
  <si>
    <t xml:space="preserve">Q-TMP-027</t>
  </si>
  <si>
    <t xml:space="preserve">MLT del lote</t>
  </si>
  <si>
    <t xml:space="preserve">Tsu + Σ(Tc + Tno) + enfriamiento + maduración + retención; (Q−1)·Tc_n = 0 con el lote como unidad</t>
  </si>
  <si>
    <t xml:space="preserve">Referencia de las capas: ≈ 4,2 / 3,8 / 158 días (el Sopó incluye 150 de maduración)</t>
  </si>
  <si>
    <t xml:space="preserve">Tiempo de valor agregado (ocupación en la tina)</t>
  </si>
  <si>
    <t xml:space="preserve">% de valor agregado</t>
  </si>
  <si>
    <t xml:space="preserve">Tiempo en la tina sin CIP ÷ MLT</t>
  </si>
  <si>
    <t xml:space="preserve">Q-CAP-009</t>
  </si>
  <si>
    <t xml:space="preserve">Inventario en maduración (capacidad requerida)</t>
  </si>
  <si>
    <t xml:space="preserve">kg</t>
  </si>
  <si>
    <t xml:space="preserve">Producción buena diaria × días de producción dentro de los días de maduración (6 de cada 7). Referencia de las capas: ≈ 116 t</t>
  </si>
  <si>
    <t xml:space="preserve">Inventario promedio de producto terminado en retención</t>
  </si>
  <si>
    <t xml:space="preserve">Referencia de las capas: ≈ 12,3 t retenidas</t>
  </si>
  <si>
    <t xml:space="preserve">Indicadores — resumen</t>
  </si>
  <si>
    <t xml:space="preserve">Todos CALCULATED sobre entradas ASSUMED mientras no existan datos reales.</t>
  </si>
  <si>
    <t xml:space="preserve">Demanda y ritmo</t>
  </si>
  <si>
    <t xml:space="preserve">Indicador</t>
  </si>
  <si>
    <t xml:space="preserve">Definición (curso / archivo)</t>
  </si>
  <si>
    <t xml:space="preserve">Demanda total</t>
  </si>
  <si>
    <t xml:space="preserve">D = unidades requeridas por período</t>
  </si>
  <si>
    <t xml:space="preserve">Lotes requeridos por día</t>
  </si>
  <si>
    <t xml:space="preserve">D en lotes, enteros</t>
  </si>
  <si>
    <t xml:space="preserve">Takt</t>
  </si>
  <si>
    <t xml:space="preserve">T = TD / D</t>
  </si>
  <si>
    <t xml:space="preserve">T = TD / D, por unidad de masa</t>
  </si>
  <si>
    <t xml:space="preserve">Ciclo efectivo de la etapa restrictiva</t>
  </si>
  <si>
    <t xml:space="preserve">Ocupación real ÷ n equipos. Etapa restrictiva: las tinas</t>
  </si>
  <si>
    <t xml:space="preserve">Positivo = cumple</t>
  </si>
  <si>
    <t xml:space="preserve">Tc ≤ T. Aplica a las tinas, la etapa restrictiva compartida; no evalúa el empaque</t>
  </si>
  <si>
    <t xml:space="preserve">OEE</t>
  </si>
  <si>
    <t xml:space="preserve">Disponibilidad A</t>
  </si>
  <si>
    <t xml:space="preserve">A = Ter / Tep = MTBF / (MTBF + MTTR)</t>
  </si>
  <si>
    <t xml:space="preserve">Eficiencia de desempeño PE</t>
  </si>
  <si>
    <t xml:space="preserve">PE = RE × SE</t>
  </si>
  <si>
    <t xml:space="preserve">Tasa de calidad Q</t>
  </si>
  <si>
    <t xml:space="preserve">Q = (producción − defectuosos) / producción</t>
  </si>
  <si>
    <t xml:space="preserve">OEE = A × PE × Q. Supuestos globales de la línea, iguales para los tres productos</t>
  </si>
  <si>
    <t xml:space="preserve">Nivel de OEE (tabla de Cortés)</t>
  </si>
  <si>
    <t xml:space="preserve">Ver tabla de niveles al final de esta hoja</t>
  </si>
  <si>
    <t xml:space="preserve">Capacidad y utilización</t>
  </si>
  <si>
    <t xml:space="preserve">Capacidad de la línea en operación</t>
  </si>
  <si>
    <t xml:space="preserve">Con pérdidas por cambios y fallas</t>
  </si>
  <si>
    <t xml:space="preserve">Capacidad por turno</t>
  </si>
  <si>
    <t xml:space="preserve">Capacidad nominal PC</t>
  </si>
  <si>
    <t xml:space="preserve">PC = n · S · H · Rp</t>
  </si>
  <si>
    <t xml:space="preserve">Utilización U = Q / PC</t>
  </si>
  <si>
    <t xml:space="preserve">Definición del curso</t>
  </si>
  <si>
    <t xml:space="preserve">Definición de la capa 9; distinta de la del curso</t>
  </si>
  <si>
    <t xml:space="preserve">Producción planificada sobre demanda</t>
  </si>
  <si>
    <t xml:space="preserve">Rendimiento y productividad (García)</t>
  </si>
  <si>
    <t xml:space="preserve">Eficiencia física (salida MP / entrada MP)</t>
  </si>
  <si>
    <t xml:space="preserve">Ef = salida MP / entrada MP</t>
  </si>
  <si>
    <t xml:space="preserve">Suero y otras salidas</t>
  </si>
  <si>
    <t xml:space="preserve">Leche − queso</t>
  </si>
  <si>
    <t xml:space="preserve">Productividad de materia prima</t>
  </si>
  <si>
    <t xml:space="preserve">kg bueno/kg leche</t>
  </si>
  <si>
    <t xml:space="preserve">Salida buena / entrada de leche</t>
  </si>
  <si>
    <t xml:space="preserve">Productividad de mano de obra</t>
  </si>
  <si>
    <t xml:space="preserve">kg/persona-turno</t>
  </si>
  <si>
    <t xml:space="preserve">Salida buena / (personas por turno × turnos)</t>
  </si>
  <si>
    <t xml:space="preserve">Eficiencia económica</t>
  </si>
  <si>
    <t xml:space="preserve">Pendiente: requiere precios y costos</t>
  </si>
  <si>
    <t xml:space="preserve">Ee = ventas / costos</t>
  </si>
  <si>
    <t xml:space="preserve">PENDING</t>
  </si>
  <si>
    <t xml:space="preserve">MLT y valor agregado por producto</t>
  </si>
  <si>
    <t xml:space="preserve">MLT — Campesino</t>
  </si>
  <si>
    <t xml:space="preserve">Tsu + Σ(Tc + Tno) + enfriamiento + maduración + retención</t>
  </si>
  <si>
    <t xml:space="preserve">MLT — Mozzarella</t>
  </si>
  <si>
    <t xml:space="preserve">MLT — Sopó</t>
  </si>
  <si>
    <t xml:space="preserve">% valor agregado — Campesino</t>
  </si>
  <si>
    <t xml:space="preserve">Tiempo en la tina ÷ MLT</t>
  </si>
  <si>
    <t xml:space="preserve">% valor agregado — Mozzarella</t>
  </si>
  <si>
    <t xml:space="preserve">% valor agregado — Sopó</t>
  </si>
  <si>
    <t xml:space="preserve">Inventario en maduración (Sopó)</t>
  </si>
  <si>
    <t xml:space="preserve">Producción buena diaria × días de producción dentro de la maduración</t>
  </si>
  <si>
    <t xml:space="preserve">Niveles de OEE (Cortés)</t>
  </si>
  <si>
    <t xml:space="preserve">OEE desde (≥)</t>
  </si>
  <si>
    <t xml:space="preserve">Nivel</t>
  </si>
  <si>
    <t xml:space="preserve">Situación</t>
  </si>
  <si>
    <t xml:space="preserve">Significado</t>
  </si>
  <si>
    <t xml:space="preserve">Competitividad</t>
  </si>
  <si>
    <t xml:space="preserve">Malo</t>
  </si>
  <si>
    <t xml:space="preserve">Inaceptable</t>
  </si>
  <si>
    <t xml:space="preserve">Grandes pérdidas económicas</t>
  </si>
  <si>
    <t xml:space="preserve">Muy baja</t>
  </si>
  <si>
    <t xml:space="preserve">Regular</t>
  </si>
  <si>
    <t xml:space="preserve">Aceptable solo si está en proceso de mejora</t>
  </si>
  <si>
    <t xml:space="preserve">Baja</t>
  </si>
  <si>
    <t xml:space="preserve">Buena</t>
  </si>
  <si>
    <t xml:space="preserve">Aceptable</t>
  </si>
  <si>
    <t xml:space="preserve">Ligeras pérdidas económicas</t>
  </si>
  <si>
    <t xml:space="preserve">Ligeramente baja o media</t>
  </si>
  <si>
    <t xml:space="preserve">Muy buena</t>
  </si>
  <si>
    <t xml:space="preserve">Se acerca a la excelencia. Liderazgo en el mercado</t>
  </si>
  <si>
    <t xml:space="preserve">Excelente</t>
  </si>
  <si>
    <t xml:space="preserve">Objetivo general de todas las empresas manufactureras</t>
  </si>
  <si>
    <t xml:space="preserve">Contraste del modelo con las 12 capas</t>
  </si>
  <si>
    <t xml:space="preserve">Valor que sale del modelo frente al valor registrado en las capas. Las diferencias pequeñas se explican en la última columna.</t>
  </si>
  <si>
    <t xml:space="preserve">Modelo</t>
  </si>
  <si>
    <t xml:space="preserve">Capas</t>
  </si>
  <si>
    <t xml:space="preserve">Comentario</t>
  </si>
  <si>
    <t xml:space="preserve">Lotes por día</t>
  </si>
  <si>
    <t xml:space="preserve">7 (3 + 2 + 2)</t>
  </si>
  <si>
    <t xml:space="preserve">Coinciden: la mezcla del plan de las capas da 3, 2 y 2 lotes.</t>
  </si>
  <si>
    <t xml:space="preserve">Tinas</t>
  </si>
  <si>
    <t xml:space="preserve">3</t>
  </si>
  <si>
    <t xml:space="preserve">Capa 5 y Capa 9.</t>
  </si>
  <si>
    <t xml:space="preserve">Producción buena planificada (kg/día)</t>
  </si>
  <si>
    <t xml:space="preserve">3.510 kg/día</t>
  </si>
  <si>
    <t xml:space="preserve">El modelo descuenta el rechazo de 2 %, que las capas no tienen.</t>
  </si>
  <si>
    <t xml:space="preserve">Leche requerida (kg/día)</t>
  </si>
  <si>
    <t xml:space="preserve">31.500 kg/día</t>
  </si>
  <si>
    <t xml:space="preserve">Siete lotes de 4.500 kg.</t>
  </si>
  <si>
    <t xml:space="preserve">Rendimiento ponderado (kg/kg)</t>
  </si>
  <si>
    <t xml:space="preserve">0,111</t>
  </si>
  <si>
    <t xml:space="preserve">Q-CAP-011.</t>
  </si>
  <si>
    <t xml:space="preserve">Capacidad por hora de calendario (kg/h)</t>
  </si>
  <si>
    <t xml:space="preserve">≈ 219 kg/h</t>
  </si>
  <si>
    <t xml:space="preserve">Las capas dividen 3.510 kg entre 16 h, sin descontar paradas; el modelo sí las descuenta.</t>
  </si>
  <si>
    <t xml:space="preserve">≈ 65 % (eficiencia global base)</t>
  </si>
  <si>
    <t xml:space="preserve">El OEE sale de A × PE × Q con MTBF, MTTR, RE y SE supuestos; las capas parten del 65 % directo.</t>
  </si>
  <si>
    <t xml:space="preserve">Utilización del equipo (Q-CAP-010)</t>
  </si>
  <si>
    <t xml:space="preserve">87 % (tinas)</t>
  </si>
  <si>
    <t xml:space="preserve">Ver nota al pie: ambos usan las mismas 27,1 h de tina por día, pero distinto tiempo disponible. No es un error; no requiere cambios en las capas.</t>
  </si>
  <si>
    <t xml:space="preserve">Inventario en maduración (kg)</t>
  </si>
  <si>
    <t xml:space="preserve">≈ 116.000 kg</t>
  </si>
  <si>
    <t xml:space="preserve">Las capas usan 900 kg diarios; el modelo usa la producción buena diaria.</t>
  </si>
  <si>
    <t xml:space="preserve">Producto terminado en retención (kg)</t>
  </si>
  <si>
    <t xml:space="preserve">≈ 12.300 kg</t>
  </si>
  <si>
    <t xml:space="preserve">Q-CAP-008: 2.610 kg de frescos × 3 días + 900 kg de Sopó × 5 días.</t>
  </si>
  <si>
    <t xml:space="preserve">MLT campesino (días)</t>
  </si>
  <si>
    <t xml:space="preserve">≈ 4,2</t>
  </si>
  <si>
    <t xml:space="preserve">Tiempo hasta la liberación, sin empaque en las capas.</t>
  </si>
  <si>
    <t xml:space="preserve">MLT mozzarella (días)</t>
  </si>
  <si>
    <t xml:space="preserve">≈ 3,8</t>
  </si>
  <si>
    <t xml:space="preserve">MLT Sopó (días)</t>
  </si>
  <si>
    <t xml:space="preserve">≈ 158</t>
  </si>
  <si>
    <t xml:space="preserve">Incluye 150 días de maduración.</t>
  </si>
  <si>
    <t xml:space="preserve">Personas por turno</t>
  </si>
  <si>
    <t xml:space="preserve">10</t>
  </si>
  <si>
    <t xml:space="preserve">Capa 10.</t>
  </si>
  <si>
    <t xml:space="preserve">Nota sobre la utilización de las tinas (87 % frente a 79 %)</t>
  </si>
  <si>
    <t xml:space="preserve">Ambos cálculos parten de la misma carga: 27,1 h de tina al día (3×224 + 2×224 + 2×254 min). Capas: 27,1 h / (3 tinas × 16 h × 65 % de eficiencia global) = 27,1 / 31,2 h = 87 %. Modelo: la carga se divide entre PE (0,81) y el tiempo disponible solo descuenta cambios de producto y fallas (aprox. 42 h entre las tres tinas), por eso sale 79 %. La diferencia es de definición del tiempo disponible, no un error. Para los cálculos se usa el valor del modelo y las capas no necesitan cambios; al citar cifras, indicar qué definición se usa.</t>
  </si>
  <si>
    <t xml:space="preserve">Qué cambió respecto al modelo del equipo</t>
  </si>
  <si>
    <t xml:space="preserve">Se conservan la estructura, las fórmulas y los indicadores. Cambian las entradas, para que coincidan con las 12 capas.</t>
  </si>
  <si>
    <t xml:space="preserve">Modelo del equipo</t>
  </si>
  <si>
    <t xml:space="preserve">Esta versión (capas)</t>
  </si>
  <si>
    <t xml:space="preserve">Por qué</t>
  </si>
  <si>
    <t xml:space="preserve">3 (archivo adjunto) o 4 (versión «realista» del md)</t>
  </si>
  <si>
    <t xml:space="preserve">Capa 5 y Capa 9: 3 tinas de 5.000 L.</t>
  </si>
  <si>
    <t xml:space="preserve">8 (3 + 3 + 2)</t>
  </si>
  <si>
    <t xml:space="preserve">Sale de la mezcla de las capas; no se fuerza.</t>
  </si>
  <si>
    <t xml:space="preserve">40 / 35 / 25 %</t>
  </si>
  <si>
    <t xml:space="preserve">46 / 28 / 26 %</t>
  </si>
  <si>
    <t xml:space="preserve">Reparto de masa del plan diario de las capas.</t>
  </si>
  <si>
    <t xml:space="preserve">Rendimiento</t>
  </si>
  <si>
    <t xml:space="preserve">0,105 / 0,10 / 0,095 (versión realista)</t>
  </si>
  <si>
    <t xml:space="preserve">0,12 / 0,11 / 0,10</t>
  </si>
  <si>
    <t xml:space="preserve">Capa 9, Q-CAP-011.</t>
  </si>
  <si>
    <t xml:space="preserve">Ocupación de la tina (sin CIP ni preparación)</t>
  </si>
  <si>
    <t xml:space="preserve">3,5 / 4,0 / 3,5 h</t>
  </si>
  <si>
    <t xml:space="preserve">2,9 / 2,9 / 3,4 h</t>
  </si>
  <si>
    <t xml:space="preserve">Capa 8: 224 / 224 / 254 min incluyen 50 min de CIP.</t>
  </si>
  <si>
    <t xml:space="preserve">20 o 30 min</t>
  </si>
  <si>
    <t xml:space="preserve">0 min</t>
  </si>
  <si>
    <t xml:space="preserve">Capa 8: va incluida en el llenado de la tina.</t>
  </si>
  <si>
    <t xml:space="preserve">CIP</t>
  </si>
  <si>
    <t xml:space="preserve">45 min</t>
  </si>
  <si>
    <t xml:space="preserve">50 min</t>
  </si>
  <si>
    <t xml:space="preserve">Capa 8.</t>
  </si>
  <si>
    <t xml:space="preserve">6</t>
  </si>
  <si>
    <t xml:space="preserve">Maduración del Sopó</t>
  </si>
  <si>
    <t xml:space="preserve">30 días</t>
  </si>
  <si>
    <t xml:space="preserve">150 días</t>
  </si>
  <si>
    <t xml:space="preserve">Capa 8: ≈ 5 meses.</t>
  </si>
  <si>
    <t xml:space="preserve">5 / 5,5 / 5 h</t>
  </si>
  <si>
    <t xml:space="preserve">4,2 / 5,2 / 41,1 h</t>
  </si>
  <si>
    <t xml:space="preserve">Capa 8; el Sopó incluye ≈ 36 h de salmuera.</t>
  </si>
  <si>
    <t xml:space="preserve">24 h</t>
  </si>
  <si>
    <t xml:space="preserve">72 / 72 / 120 h</t>
  </si>
  <si>
    <t xml:space="preserve">Capa 8: 3 días (frescos) y 5 días (Sopó).</t>
  </si>
  <si>
    <t xml:space="preserve">Almacenamiento de leche, enfriamiento y oreo</t>
  </si>
  <si>
    <t xml:space="preserve">No estaban</t>
  </si>
  <si>
    <t xml:space="preserve">12 h; 12 / 1,25 / 2,5 h; 0 / 0,5 / 12 h</t>
  </si>
  <si>
    <t xml:space="preserve">Capa 8. Entran al MLT.</t>
  </si>
  <si>
    <t xml:space="preserve">Inventario en maduración</t>
  </si>
  <si>
    <t xml:space="preserve">Producción diaria × días de calendario</t>
  </si>
  <si>
    <t xml:space="preserve">× 6/7 (días de producción)</t>
  </si>
  <si>
    <t xml:space="preserve">Capa 9: ≈ 129 días de producción dentro de los 150.</t>
  </si>
  <si>
    <t xml:space="preserve">MTBF, MTTR, RE, SE, rechazo, cambio de producto</t>
  </si>
  <si>
    <t xml:space="preserve">Supuestos del equipo</t>
  </si>
  <si>
    <t xml:space="preserve">22 h, 4 h, 88 %, 92 %, 2 %, 30 min</t>
  </si>
  <si>
    <t xml:space="preserve">No están en las capas; se dejan como supuestos del modelo de indicadores (la versión realista con 22/4/88/92).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</si>
</sst>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"/>
    <numFmt numFmtId="167" formatCode="0.0"/>
    <numFmt numFmtId="168" formatCode="0.0%"/>
    <numFmt numFmtId="169" formatCode="0.00"/>
    <numFmt numFmtId="170" formatCode="0.000"/>
    <numFmt numFmtId="171" formatCode="#,##0.0"/>
    <numFmt numFmtId="172" formatCode="@"/>
    <numFmt numFmtId="173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BCB"/>
        <bgColor rgb="FFFFF2CC"/>
      </patternFill>
    </fill>
    <fill>
      <patternFill patternType="solid">
        <fgColor rgb="FF8FAE4A"/>
        <bgColor rgb="FF99CC00"/>
      </patternFill>
    </fill>
    <fill>
      <patternFill patternType="solid">
        <fgColor rgb="FFFFF2CC"/>
        <bgColor rgb="FFE2EB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B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FAE4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16.01"/>
    <col collapsed="false" customWidth="true" hidden="false" outlineLevel="0" max="2" min="2" style="1" width="46"/>
    <col collapsed="false" customWidth="true" hidden="false" outlineLevel="0" max="3" min="3" style="1" width="16.01"/>
    <col collapsed="false" customWidth="true" hidden="false" outlineLevel="0" max="6" min="4" style="1" width="14.93"/>
    <col collapsed="false" customWidth="true" hidden="false" outlineLevel="0" max="7" min="7" style="1" width="13.03"/>
    <col collapsed="false" customWidth="true" hidden="false" outlineLevel="0" max="8" min="8" style="1" width="64.0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/>
      <c r="F5" s="6"/>
      <c r="G5" s="6" t="s">
        <v>7</v>
      </c>
      <c r="H5" s="6" t="s">
        <v>8</v>
      </c>
    </row>
    <row r="6" customFormat="false" ht="22.5" hidden="false" customHeight="true" outlineLevel="0" collapsed="false">
      <c r="A6" s="7" t="s">
        <v>9</v>
      </c>
      <c r="B6" s="7" t="s">
        <v>10</v>
      </c>
      <c r="C6" s="7" t="s">
        <v>11</v>
      </c>
      <c r="D6" s="8" t="n">
        <v>3000</v>
      </c>
      <c r="E6" s="9"/>
      <c r="F6" s="9"/>
      <c r="G6" s="10" t="s">
        <v>12</v>
      </c>
      <c r="H6" s="11" t="s">
        <v>13</v>
      </c>
    </row>
    <row r="7" customFormat="false" ht="15" hidden="false" customHeight="true" outlineLevel="0" collapsed="false">
      <c r="A7" s="7" t="s">
        <v>14</v>
      </c>
      <c r="B7" s="7" t="s">
        <v>15</v>
      </c>
      <c r="C7" s="7" t="s">
        <v>16</v>
      </c>
      <c r="D7" s="12" t="n">
        <v>2</v>
      </c>
      <c r="E7" s="9"/>
      <c r="F7" s="9"/>
      <c r="G7" s="10" t="s">
        <v>12</v>
      </c>
      <c r="H7" s="11" t="s">
        <v>17</v>
      </c>
    </row>
    <row r="8" customFormat="false" ht="15" hidden="false" customHeight="true" outlineLevel="0" collapsed="false">
      <c r="A8" s="7" t="s">
        <v>18</v>
      </c>
      <c r="B8" s="7" t="s">
        <v>19</v>
      </c>
      <c r="C8" s="7" t="s">
        <v>20</v>
      </c>
      <c r="D8" s="12" t="n">
        <v>8</v>
      </c>
      <c r="E8" s="9"/>
      <c r="F8" s="9"/>
      <c r="G8" s="10" t="s">
        <v>12</v>
      </c>
      <c r="H8" s="11" t="s">
        <v>17</v>
      </c>
    </row>
    <row r="9" customFormat="false" ht="15" hidden="false" customHeight="true" outlineLevel="0" collapsed="false">
      <c r="A9" s="7" t="s">
        <v>18</v>
      </c>
      <c r="B9" s="7" t="s">
        <v>21</v>
      </c>
      <c r="C9" s="7" t="s">
        <v>22</v>
      </c>
      <c r="D9" s="12" t="n">
        <v>6</v>
      </c>
      <c r="E9" s="9"/>
      <c r="F9" s="9"/>
      <c r="G9" s="10" t="s">
        <v>12</v>
      </c>
      <c r="H9" s="11" t="s">
        <v>23</v>
      </c>
    </row>
    <row r="10" customFormat="false" ht="15" hidden="false" customHeight="true" outlineLevel="0" collapsed="false">
      <c r="A10" s="7" t="s">
        <v>24</v>
      </c>
      <c r="B10" s="7" t="s">
        <v>25</v>
      </c>
      <c r="C10" s="7" t="s">
        <v>26</v>
      </c>
      <c r="D10" s="12" t="n">
        <v>3</v>
      </c>
      <c r="E10" s="9"/>
      <c r="F10" s="9"/>
      <c r="G10" s="10" t="s">
        <v>12</v>
      </c>
      <c r="H10" s="11" t="s">
        <v>27</v>
      </c>
    </row>
    <row r="11" customFormat="false" ht="15" hidden="false" customHeight="true" outlineLevel="0" collapsed="false">
      <c r="A11" s="7" t="s">
        <v>28</v>
      </c>
      <c r="B11" s="7" t="s">
        <v>29</v>
      </c>
      <c r="C11" s="7" t="s">
        <v>30</v>
      </c>
      <c r="D11" s="12" t="n">
        <v>30</v>
      </c>
      <c r="E11" s="9"/>
      <c r="F11" s="9"/>
      <c r="G11" s="10" t="s">
        <v>12</v>
      </c>
      <c r="H11" s="11" t="s">
        <v>31</v>
      </c>
    </row>
    <row r="12" customFormat="false" ht="21.75" hidden="false" customHeight="true" outlineLevel="0" collapsed="false">
      <c r="A12" s="7" t="s">
        <v>32</v>
      </c>
      <c r="B12" s="7" t="s">
        <v>33</v>
      </c>
      <c r="C12" s="7" t="s">
        <v>34</v>
      </c>
      <c r="D12" s="13" t="n">
        <v>22</v>
      </c>
      <c r="E12" s="9"/>
      <c r="F12" s="9"/>
      <c r="G12" s="10" t="s">
        <v>12</v>
      </c>
      <c r="H12" s="11" t="s">
        <v>35</v>
      </c>
    </row>
    <row r="13" customFormat="false" ht="15" hidden="false" customHeight="true" outlineLevel="0" collapsed="false">
      <c r="A13" s="7" t="s">
        <v>32</v>
      </c>
      <c r="B13" s="7" t="s">
        <v>36</v>
      </c>
      <c r="C13" s="7" t="s">
        <v>34</v>
      </c>
      <c r="D13" s="13" t="n">
        <v>4</v>
      </c>
      <c r="E13" s="9"/>
      <c r="F13" s="9"/>
      <c r="G13" s="10" t="s">
        <v>12</v>
      </c>
      <c r="H13" s="11" t="s">
        <v>37</v>
      </c>
    </row>
    <row r="14" customFormat="false" ht="15" hidden="false" customHeight="true" outlineLevel="0" collapsed="false">
      <c r="A14" s="7" t="s">
        <v>32</v>
      </c>
      <c r="B14" s="7" t="s">
        <v>38</v>
      </c>
      <c r="C14" s="7" t="s">
        <v>39</v>
      </c>
      <c r="D14" s="14" t="n">
        <v>0.88</v>
      </c>
      <c r="E14" s="9"/>
      <c r="F14" s="9"/>
      <c r="G14" s="10" t="s">
        <v>12</v>
      </c>
      <c r="H14" s="11" t="s">
        <v>40</v>
      </c>
    </row>
    <row r="15" customFormat="false" ht="15" hidden="false" customHeight="true" outlineLevel="0" collapsed="false">
      <c r="A15" s="7" t="s">
        <v>32</v>
      </c>
      <c r="B15" s="7" t="s">
        <v>41</v>
      </c>
      <c r="C15" s="7" t="s">
        <v>39</v>
      </c>
      <c r="D15" s="14" t="n">
        <v>0.92</v>
      </c>
      <c r="E15" s="9"/>
      <c r="F15" s="9"/>
      <c r="G15" s="10" t="s">
        <v>12</v>
      </c>
      <c r="H15" s="11" t="s">
        <v>42</v>
      </c>
    </row>
    <row r="16" customFormat="false" ht="21.75" hidden="false" customHeight="true" outlineLevel="0" collapsed="false">
      <c r="A16" s="7" t="s">
        <v>43</v>
      </c>
      <c r="B16" s="7" t="s">
        <v>44</v>
      </c>
      <c r="C16" s="7" t="s">
        <v>45</v>
      </c>
      <c r="D16" s="12" t="n">
        <v>10</v>
      </c>
      <c r="E16" s="9"/>
      <c r="F16" s="9"/>
      <c r="G16" s="10" t="s">
        <v>12</v>
      </c>
      <c r="H16" s="11" t="s">
        <v>46</v>
      </c>
    </row>
    <row r="17" customFormat="false" ht="15" hidden="false" customHeight="true" outlineLevel="0" collapsed="false">
      <c r="A17" s="7" t="s">
        <v>32</v>
      </c>
      <c r="B17" s="7" t="s">
        <v>47</v>
      </c>
      <c r="C17" s="7" t="s">
        <v>48</v>
      </c>
      <c r="D17" s="15" t="n">
        <v>1.03</v>
      </c>
      <c r="E17" s="9"/>
      <c r="F17" s="9"/>
      <c r="G17" s="10" t="s">
        <v>49</v>
      </c>
      <c r="H17" s="11" t="s">
        <v>50</v>
      </c>
    </row>
    <row r="19" customFormat="false" ht="15" hidden="false" customHeight="true" outlineLevel="0" collapsed="false">
      <c r="A19" s="4" t="s">
        <v>51</v>
      </c>
      <c r="B19" s="5"/>
      <c r="C19" s="5"/>
      <c r="D19" s="5"/>
      <c r="E19" s="5"/>
      <c r="F19" s="5"/>
      <c r="G19" s="5"/>
      <c r="H19" s="5"/>
    </row>
    <row r="20" customFormat="false" ht="30" hidden="false" customHeight="true" outlineLevel="0" collapsed="false">
      <c r="A20" s="6" t="s">
        <v>3</v>
      </c>
      <c r="B20" s="6" t="s">
        <v>4</v>
      </c>
      <c r="C20" s="6" t="s">
        <v>5</v>
      </c>
      <c r="D20" s="6" t="s">
        <v>52</v>
      </c>
      <c r="E20" s="6" t="s">
        <v>53</v>
      </c>
      <c r="F20" s="6" t="s">
        <v>54</v>
      </c>
      <c r="G20" s="6" t="s">
        <v>7</v>
      </c>
      <c r="H20" s="6" t="s">
        <v>8</v>
      </c>
    </row>
    <row r="21" customFormat="false" ht="21.75" hidden="false" customHeight="true" outlineLevel="0" collapsed="false">
      <c r="A21" s="7" t="s">
        <v>55</v>
      </c>
      <c r="B21" s="7" t="s">
        <v>56</v>
      </c>
      <c r="C21" s="7" t="s">
        <v>39</v>
      </c>
      <c r="D21" s="14" t="n">
        <v>0.462</v>
      </c>
      <c r="E21" s="14" t="n">
        <v>0.282</v>
      </c>
      <c r="F21" s="14" t="n">
        <v>0.256</v>
      </c>
      <c r="G21" s="10" t="s">
        <v>57</v>
      </c>
      <c r="H21" s="11" t="s">
        <v>58</v>
      </c>
    </row>
    <row r="22" customFormat="false" ht="15" hidden="false" customHeight="true" outlineLevel="0" collapsed="false">
      <c r="A22" s="7" t="s">
        <v>59</v>
      </c>
      <c r="B22" s="7" t="s">
        <v>60</v>
      </c>
      <c r="C22" s="7" t="s">
        <v>61</v>
      </c>
      <c r="D22" s="8" t="n">
        <v>4500</v>
      </c>
      <c r="E22" s="8" t="n">
        <v>4500</v>
      </c>
      <c r="F22" s="8" t="n">
        <v>4500</v>
      </c>
      <c r="G22" s="10" t="s">
        <v>12</v>
      </c>
      <c r="H22" s="11" t="s">
        <v>62</v>
      </c>
    </row>
    <row r="23" customFormat="false" ht="15" hidden="false" customHeight="true" outlineLevel="0" collapsed="false">
      <c r="A23" s="7" t="s">
        <v>63</v>
      </c>
      <c r="B23" s="7" t="s">
        <v>64</v>
      </c>
      <c r="C23" s="7" t="s">
        <v>65</v>
      </c>
      <c r="D23" s="16" t="n">
        <v>0.12</v>
      </c>
      <c r="E23" s="16" t="n">
        <v>0.11</v>
      </c>
      <c r="F23" s="16" t="n">
        <v>0.1</v>
      </c>
      <c r="G23" s="10" t="s">
        <v>12</v>
      </c>
      <c r="H23" s="11" t="s">
        <v>66</v>
      </c>
    </row>
    <row r="24" customFormat="false" ht="15" hidden="false" customHeight="true" outlineLevel="0" collapsed="false">
      <c r="A24" s="7" t="s">
        <v>32</v>
      </c>
      <c r="B24" s="7" t="s">
        <v>67</v>
      </c>
      <c r="C24" s="7" t="s">
        <v>39</v>
      </c>
      <c r="D24" s="14" t="n">
        <v>0.02</v>
      </c>
      <c r="E24" s="14" t="n">
        <v>0.02</v>
      </c>
      <c r="F24" s="14" t="n">
        <v>0.02</v>
      </c>
      <c r="G24" s="10" t="s">
        <v>12</v>
      </c>
      <c r="H24" s="11" t="s">
        <v>68</v>
      </c>
    </row>
    <row r="25" customFormat="false" ht="21.75" hidden="false" customHeight="true" outlineLevel="0" collapsed="false">
      <c r="A25" s="7" t="s">
        <v>69</v>
      </c>
      <c r="B25" s="7" t="s">
        <v>70</v>
      </c>
      <c r="C25" s="7" t="s">
        <v>71</v>
      </c>
      <c r="D25" s="13" t="n">
        <v>2.9</v>
      </c>
      <c r="E25" s="13" t="n">
        <v>2.9</v>
      </c>
      <c r="F25" s="13" t="n">
        <v>3.4</v>
      </c>
      <c r="G25" s="10" t="s">
        <v>57</v>
      </c>
      <c r="H25" s="11" t="s">
        <v>72</v>
      </c>
    </row>
    <row r="26" customFormat="false" ht="15" hidden="false" customHeight="true" outlineLevel="0" collapsed="false">
      <c r="A26" s="7" t="s">
        <v>73</v>
      </c>
      <c r="B26" s="7" t="s">
        <v>74</v>
      </c>
      <c r="C26" s="7" t="s">
        <v>75</v>
      </c>
      <c r="D26" s="12" t="n">
        <v>0</v>
      </c>
      <c r="E26" s="12" t="n">
        <v>0</v>
      </c>
      <c r="F26" s="12" t="n">
        <v>0</v>
      </c>
      <c r="G26" s="10" t="s">
        <v>12</v>
      </c>
      <c r="H26" s="11" t="s">
        <v>76</v>
      </c>
    </row>
    <row r="27" customFormat="false" ht="15" hidden="false" customHeight="true" outlineLevel="0" collapsed="false">
      <c r="A27" s="7" t="s">
        <v>77</v>
      </c>
      <c r="B27" s="7" t="s">
        <v>78</v>
      </c>
      <c r="C27" s="7" t="s">
        <v>75</v>
      </c>
      <c r="D27" s="12" t="n">
        <v>50</v>
      </c>
      <c r="E27" s="12" t="n">
        <v>50</v>
      </c>
      <c r="F27" s="12" t="n">
        <v>50</v>
      </c>
      <c r="G27" s="10" t="s">
        <v>12</v>
      </c>
      <c r="H27" s="11" t="s">
        <v>79</v>
      </c>
    </row>
    <row r="28" customFormat="false" ht="24.75" hidden="false" customHeight="true" outlineLevel="0" collapsed="false">
      <c r="A28" s="7" t="s">
        <v>80</v>
      </c>
      <c r="B28" s="7" t="s">
        <v>81</v>
      </c>
      <c r="C28" s="7" t="s">
        <v>34</v>
      </c>
      <c r="D28" s="13" t="n">
        <v>12</v>
      </c>
      <c r="E28" s="13" t="n">
        <v>12</v>
      </c>
      <c r="F28" s="13" t="n">
        <v>12</v>
      </c>
      <c r="G28" s="10" t="s">
        <v>12</v>
      </c>
      <c r="H28" s="11" t="s">
        <v>82</v>
      </c>
    </row>
    <row r="29" customFormat="false" ht="23.25" hidden="false" customHeight="true" outlineLevel="0" collapsed="false">
      <c r="A29" s="7" t="s">
        <v>83</v>
      </c>
      <c r="B29" s="7" t="s">
        <v>84</v>
      </c>
      <c r="C29" s="7" t="s">
        <v>71</v>
      </c>
      <c r="D29" s="13" t="n">
        <v>4.2</v>
      </c>
      <c r="E29" s="13" t="n">
        <v>5.2</v>
      </c>
      <c r="F29" s="13" t="n">
        <v>41.1</v>
      </c>
      <c r="G29" s="10" t="s">
        <v>85</v>
      </c>
      <c r="H29" s="11" t="s">
        <v>86</v>
      </c>
    </row>
    <row r="30" customFormat="false" ht="21.75" hidden="false" customHeight="true" outlineLevel="0" collapsed="false">
      <c r="A30" s="7" t="s">
        <v>87</v>
      </c>
      <c r="B30" s="7" t="s">
        <v>88</v>
      </c>
      <c r="C30" s="7" t="s">
        <v>71</v>
      </c>
      <c r="D30" s="13" t="n">
        <v>0</v>
      </c>
      <c r="E30" s="13" t="n">
        <v>0.5</v>
      </c>
      <c r="F30" s="13" t="n">
        <v>12</v>
      </c>
      <c r="G30" s="10" t="s">
        <v>12</v>
      </c>
      <c r="H30" s="11" t="s">
        <v>89</v>
      </c>
    </row>
    <row r="31" customFormat="false" ht="24.75" hidden="false" customHeight="true" outlineLevel="0" collapsed="false">
      <c r="A31" s="7" t="s">
        <v>90</v>
      </c>
      <c r="B31" s="7" t="s">
        <v>91</v>
      </c>
      <c r="C31" s="7" t="s">
        <v>71</v>
      </c>
      <c r="D31" s="15" t="n">
        <v>12</v>
      </c>
      <c r="E31" s="15" t="n">
        <v>1.25</v>
      </c>
      <c r="F31" s="15" t="n">
        <v>2.5</v>
      </c>
      <c r="G31" s="10" t="s">
        <v>12</v>
      </c>
      <c r="H31" s="11" t="s">
        <v>92</v>
      </c>
    </row>
    <row r="32" customFormat="false" ht="15" hidden="false" customHeight="true" outlineLevel="0" collapsed="false">
      <c r="A32" s="7" t="s">
        <v>93</v>
      </c>
      <c r="B32" s="7" t="s">
        <v>94</v>
      </c>
      <c r="C32" s="7" t="s">
        <v>95</v>
      </c>
      <c r="D32" s="12" t="n">
        <v>0</v>
      </c>
      <c r="E32" s="12" t="n">
        <v>0</v>
      </c>
      <c r="F32" s="12" t="n">
        <v>150</v>
      </c>
      <c r="G32" s="10" t="s">
        <v>12</v>
      </c>
      <c r="H32" s="11" t="s">
        <v>96</v>
      </c>
    </row>
    <row r="33" customFormat="false" ht="15" hidden="false" customHeight="true" outlineLevel="0" collapsed="false">
      <c r="A33" s="7" t="s">
        <v>97</v>
      </c>
      <c r="B33" s="7" t="s">
        <v>98</v>
      </c>
      <c r="C33" s="7" t="s">
        <v>34</v>
      </c>
      <c r="D33" s="12" t="n">
        <v>72</v>
      </c>
      <c r="E33" s="12" t="n">
        <v>72</v>
      </c>
      <c r="F33" s="12" t="n">
        <v>120</v>
      </c>
      <c r="G33" s="10" t="s">
        <v>12</v>
      </c>
      <c r="H33" s="11" t="s">
        <v>99</v>
      </c>
    </row>
    <row r="34" customFormat="false" ht="15" hidden="false" customHeight="true" outlineLevel="0" collapsed="false">
      <c r="B34" s="7" t="s">
        <v>100</v>
      </c>
      <c r="D34" s="17" t="n">
        <f aca="false">SUM(D21:F21)</f>
        <v>1</v>
      </c>
      <c r="E34" s="1" t="str">
        <f aca="false">IF(ROUND(D34,6)=1,"OK","La mezcla debe sumar 100 %")</f>
        <v>OK</v>
      </c>
    </row>
  </sheetData>
  <dataValidations count="1">
    <dataValidation allowBlank="false" errorStyle="stop" operator="between" showDropDown="false" showErrorMessage="false" showInputMessage="false" sqref="G6:G17 G21:G31" type="list">
      <formula1>"PUBLIC,REFERENCE,ASSUMED,CALCULATED,PROPOSED,PENDING"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25" activePane="bottomRight" state="frozen"/>
      <selection pane="topLeft" activeCell="A1" activeCellId="0" sqref="A1"/>
      <selection pane="topRight" activeCell="C1" activeCellId="0" sqref="C1"/>
      <selection pane="bottomLeft" activeCell="A25" activeCellId="0" sqref="A25"/>
      <selection pane="bottomRigh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13.99"/>
    <col collapsed="false" customWidth="true" hidden="false" outlineLevel="0" max="2" min="2" style="1" width="53.93"/>
    <col collapsed="false" customWidth="true" hidden="false" outlineLevel="0" max="3" min="3" style="1" width="16.01"/>
    <col collapsed="false" customWidth="true" hidden="false" outlineLevel="0" max="6" min="4" style="1" width="14.93"/>
    <col collapsed="false" customWidth="true" hidden="false" outlineLevel="0" max="7" min="7" style="1" width="16.95"/>
    <col collapsed="false" customWidth="true" hidden="false" outlineLevel="0" max="8" min="8" style="1" width="69.95"/>
  </cols>
  <sheetData>
    <row r="1" customFormat="false" ht="17.25" hidden="false" customHeight="true" outlineLevel="0" collapsed="false">
      <c r="A1" s="2" t="s">
        <v>101</v>
      </c>
    </row>
    <row r="2" customFormat="false" ht="15" hidden="false" customHeight="true" outlineLevel="0" collapsed="false">
      <c r="A2" s="18" t="s">
        <v>102</v>
      </c>
    </row>
    <row r="4" customFormat="false" ht="15" hidden="false" customHeight="true" outlineLevel="0" collapsed="false">
      <c r="A4" s="4" t="s">
        <v>103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6" t="s">
        <v>3</v>
      </c>
      <c r="B5" s="6" t="s">
        <v>104</v>
      </c>
      <c r="C5" s="6" t="s">
        <v>5</v>
      </c>
      <c r="D5" s="6" t="s">
        <v>105</v>
      </c>
      <c r="E5" s="6" t="s">
        <v>106</v>
      </c>
      <c r="F5" s="6" t="s">
        <v>107</v>
      </c>
      <c r="G5" s="6" t="s">
        <v>108</v>
      </c>
      <c r="H5" s="6" t="s">
        <v>109</v>
      </c>
    </row>
    <row r="6" customFormat="false" ht="15" hidden="false" customHeight="true" outlineLevel="0" collapsed="false">
      <c r="A6" s="7" t="s">
        <v>110</v>
      </c>
      <c r="B6" s="7" t="s">
        <v>111</v>
      </c>
      <c r="C6" s="7" t="s">
        <v>11</v>
      </c>
      <c r="D6" s="19" t="n">
        <f aca="false">Entradas!$D$6*Entradas!D21</f>
        <v>1386</v>
      </c>
      <c r="E6" s="19" t="n">
        <f aca="false">Entradas!$D$6*Entradas!E21</f>
        <v>846</v>
      </c>
      <c r="F6" s="19" t="n">
        <f aca="false">Entradas!$D$6*Entradas!F21</f>
        <v>768</v>
      </c>
      <c r="G6" s="19" t="n">
        <f aca="false">SUM(D6:F6)</f>
        <v>3000</v>
      </c>
      <c r="H6" s="11" t="s">
        <v>112</v>
      </c>
    </row>
    <row r="7" customFormat="false" ht="15" hidden="false" customHeight="true" outlineLevel="0" collapsed="false">
      <c r="A7" s="7" t="s">
        <v>59</v>
      </c>
      <c r="B7" s="7" t="s">
        <v>113</v>
      </c>
      <c r="C7" s="7" t="s">
        <v>61</v>
      </c>
      <c r="D7" s="20" t="n">
        <f aca="false">Entradas!D22</f>
        <v>4500</v>
      </c>
      <c r="E7" s="20" t="n">
        <f aca="false">Entradas!E22</f>
        <v>4500</v>
      </c>
      <c r="F7" s="20" t="n">
        <f aca="false">Entradas!F22</f>
        <v>4500</v>
      </c>
      <c r="G7" s="9"/>
      <c r="H7" s="11"/>
    </row>
    <row r="8" customFormat="false" ht="15" hidden="false" customHeight="true" outlineLevel="0" collapsed="false">
      <c r="A8" s="7" t="s">
        <v>114</v>
      </c>
      <c r="B8" s="7" t="s">
        <v>115</v>
      </c>
      <c r="C8" s="7" t="s">
        <v>116</v>
      </c>
      <c r="D8" s="19" t="n">
        <f aca="false">D7*Entradas!D23</f>
        <v>540</v>
      </c>
      <c r="E8" s="19" t="n">
        <f aca="false">E7*Entradas!E23</f>
        <v>495</v>
      </c>
      <c r="F8" s="19" t="n">
        <f aca="false">F7*Entradas!F23</f>
        <v>450</v>
      </c>
      <c r="G8" s="9"/>
      <c r="H8" s="11" t="s">
        <v>117</v>
      </c>
    </row>
    <row r="9" customFormat="false" ht="15" hidden="false" customHeight="true" outlineLevel="0" collapsed="false">
      <c r="A9" s="7" t="s">
        <v>32</v>
      </c>
      <c r="B9" s="7" t="s">
        <v>118</v>
      </c>
      <c r="C9" s="7" t="s">
        <v>116</v>
      </c>
      <c r="D9" s="19" t="n">
        <f aca="false">D8*(1-Entradas!D24)</f>
        <v>529.2</v>
      </c>
      <c r="E9" s="19" t="n">
        <f aca="false">E8*(1-Entradas!E24)</f>
        <v>485.1</v>
      </c>
      <c r="F9" s="19" t="n">
        <f aca="false">F8*(1-Entradas!F24)</f>
        <v>441</v>
      </c>
      <c r="G9" s="9"/>
      <c r="H9" s="11" t="s">
        <v>119</v>
      </c>
    </row>
    <row r="10" customFormat="false" ht="15" hidden="false" customHeight="true" outlineLevel="0" collapsed="false">
      <c r="A10" s="7" t="s">
        <v>32</v>
      </c>
      <c r="B10" s="7" t="s">
        <v>120</v>
      </c>
      <c r="C10" s="7" t="s">
        <v>121</v>
      </c>
      <c r="D10" s="21" t="n">
        <f aca="false">ROUNDUP(D6/D9,0)</f>
        <v>3</v>
      </c>
      <c r="E10" s="21" t="n">
        <f aca="false">ROUNDUP(E6/E9,0)</f>
        <v>2</v>
      </c>
      <c r="F10" s="21" t="n">
        <f aca="false">ROUNDUP(F6/F9,0)</f>
        <v>2</v>
      </c>
      <c r="G10" s="21" t="n">
        <f aca="false">SUM(D10:F10)</f>
        <v>7</v>
      </c>
      <c r="H10" s="11" t="s">
        <v>122</v>
      </c>
    </row>
    <row r="11" customFormat="false" ht="15" hidden="false" customHeight="true" outlineLevel="0" collapsed="false">
      <c r="A11" s="7" t="s">
        <v>32</v>
      </c>
      <c r="B11" s="7" t="s">
        <v>123</v>
      </c>
      <c r="C11" s="7" t="s">
        <v>121</v>
      </c>
      <c r="D11" s="22" t="n">
        <f aca="false">D6/D9</f>
        <v>2.61904761904762</v>
      </c>
      <c r="E11" s="22" t="n">
        <f aca="false">E6/E9</f>
        <v>1.74397031539889</v>
      </c>
      <c r="F11" s="22" t="n">
        <f aca="false">F6/F9</f>
        <v>1.74149659863946</v>
      </c>
      <c r="G11" s="22" t="n">
        <f aca="false">SUM(D11:F11)</f>
        <v>6.10451453308596</v>
      </c>
      <c r="H11" s="11"/>
    </row>
    <row r="12" customFormat="false" ht="15" hidden="false" customHeight="true" outlineLevel="0" collapsed="false">
      <c r="A12" s="7" t="s">
        <v>32</v>
      </c>
      <c r="B12" s="7" t="s">
        <v>124</v>
      </c>
      <c r="C12" s="7" t="s">
        <v>11</v>
      </c>
      <c r="D12" s="23" t="n">
        <f aca="false">D10*D9</f>
        <v>1587.6</v>
      </c>
      <c r="E12" s="23" t="n">
        <f aca="false">E10*E9</f>
        <v>970.2</v>
      </c>
      <c r="F12" s="23" t="n">
        <f aca="false">F10*F9</f>
        <v>882</v>
      </c>
      <c r="G12" s="23" t="n">
        <f aca="false">SUM(D12:F12)</f>
        <v>3439.8</v>
      </c>
      <c r="H12" s="11"/>
    </row>
    <row r="13" customFormat="false" ht="15" hidden="false" customHeight="true" outlineLevel="0" collapsed="false">
      <c r="A13" s="7" t="s">
        <v>32</v>
      </c>
      <c r="B13" s="7" t="s">
        <v>125</v>
      </c>
      <c r="C13" s="7" t="s">
        <v>39</v>
      </c>
      <c r="D13" s="24" t="n">
        <f aca="false">D12/D6-1</f>
        <v>0.145454545454546</v>
      </c>
      <c r="E13" s="24" t="n">
        <f aca="false">E12/E6-1</f>
        <v>0.146808510638298</v>
      </c>
      <c r="F13" s="24" t="n">
        <f aca="false">F12/F6-1</f>
        <v>0.1484375</v>
      </c>
      <c r="G13" s="24" t="n">
        <f aca="false">G12/G6-1</f>
        <v>0.1466</v>
      </c>
      <c r="H13" s="11"/>
    </row>
    <row r="14" customFormat="false" ht="15" hidden="false" customHeight="true" outlineLevel="0" collapsed="false">
      <c r="A14" s="7" t="s">
        <v>32</v>
      </c>
      <c r="B14" s="7" t="s">
        <v>126</v>
      </c>
      <c r="C14" s="7" t="s">
        <v>11</v>
      </c>
      <c r="D14" s="23" t="n">
        <f aca="false">D10*D7</f>
        <v>13500</v>
      </c>
      <c r="E14" s="23" t="n">
        <f aca="false">E10*E7</f>
        <v>9000</v>
      </c>
      <c r="F14" s="23" t="n">
        <f aca="false">F10*F7</f>
        <v>9000</v>
      </c>
      <c r="G14" s="23" t="n">
        <f aca="false">SUM(D14:F14)</f>
        <v>31500</v>
      </c>
      <c r="H14" s="11"/>
    </row>
    <row r="15" customFormat="false" ht="15" hidden="false" customHeight="true" outlineLevel="0" collapsed="false">
      <c r="A15" s="7" t="s">
        <v>32</v>
      </c>
      <c r="B15" s="7" t="s">
        <v>126</v>
      </c>
      <c r="C15" s="7" t="s">
        <v>127</v>
      </c>
      <c r="D15" s="23" t="n">
        <f aca="false">D14/Entradas!$D$17</f>
        <v>13106.7961165049</v>
      </c>
      <c r="E15" s="23" t="n">
        <f aca="false">E14/Entradas!$D$17</f>
        <v>8737.8640776699</v>
      </c>
      <c r="F15" s="23" t="n">
        <f aca="false">F14/Entradas!$D$17</f>
        <v>8737.8640776699</v>
      </c>
      <c r="G15" s="23" t="n">
        <f aca="false">SUM(D15:F15)</f>
        <v>30582.5242718447</v>
      </c>
      <c r="H15" s="11"/>
    </row>
    <row r="16" customFormat="false" ht="15" hidden="false" customHeight="true" outlineLevel="0" collapsed="false">
      <c r="A16" s="7" t="s">
        <v>63</v>
      </c>
      <c r="B16" s="7" t="s">
        <v>128</v>
      </c>
      <c r="C16" s="7" t="s">
        <v>129</v>
      </c>
      <c r="D16" s="25" t="n">
        <f aca="false">Entradas!D23</f>
        <v>0.12</v>
      </c>
      <c r="E16" s="25" t="n">
        <f aca="false">Entradas!E23</f>
        <v>0.11</v>
      </c>
      <c r="F16" s="25" t="n">
        <f aca="false">Entradas!F23</f>
        <v>0.1</v>
      </c>
      <c r="G16" s="26" t="n">
        <f aca="false">SUMPRODUCT($D$10:$F$10,$D$8:$F$8)/G14</f>
        <v>0.111428571428571</v>
      </c>
      <c r="H16" s="11" t="s">
        <v>130</v>
      </c>
    </row>
    <row r="17" customFormat="false" ht="15" hidden="false" customHeight="true" outlineLevel="0" collapsed="false">
      <c r="A17" s="7" t="s">
        <v>32</v>
      </c>
      <c r="B17" s="7" t="s">
        <v>131</v>
      </c>
      <c r="C17" s="7" t="s">
        <v>11</v>
      </c>
      <c r="D17" s="23" t="n">
        <f aca="false">D14-D10*D8</f>
        <v>11880</v>
      </c>
      <c r="E17" s="23" t="n">
        <f aca="false">E14-E10*E8</f>
        <v>8010</v>
      </c>
      <c r="F17" s="23" t="n">
        <f aca="false">F14-F10*F8</f>
        <v>8100</v>
      </c>
      <c r="G17" s="23" t="n">
        <f aca="false">SUM(D17:F17)</f>
        <v>27990</v>
      </c>
      <c r="H17" s="11" t="s">
        <v>132</v>
      </c>
    </row>
    <row r="19" customFormat="false" ht="15" hidden="false" customHeight="true" outlineLevel="0" collapsed="false">
      <c r="A19" s="4" t="s">
        <v>133</v>
      </c>
      <c r="B19" s="5"/>
      <c r="C19" s="5"/>
      <c r="D19" s="5"/>
      <c r="E19" s="5"/>
      <c r="F19" s="5"/>
      <c r="G19" s="5"/>
      <c r="H19" s="5"/>
    </row>
    <row r="20" customFormat="false" ht="15" hidden="false" customHeight="true" outlineLevel="0" collapsed="false">
      <c r="A20" s="6" t="s">
        <v>3</v>
      </c>
      <c r="B20" s="6" t="s">
        <v>104</v>
      </c>
      <c r="C20" s="6" t="s">
        <v>5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</row>
    <row r="21" customFormat="false" ht="15" hidden="false" customHeight="true" outlineLevel="0" collapsed="false">
      <c r="A21" s="7" t="s">
        <v>24</v>
      </c>
      <c r="B21" s="7" t="s">
        <v>134</v>
      </c>
      <c r="C21" s="7" t="s">
        <v>26</v>
      </c>
      <c r="D21" s="9"/>
      <c r="E21" s="9"/>
      <c r="F21" s="9"/>
      <c r="G21" s="27" t="n">
        <f aca="false">Entradas!$D$10</f>
        <v>3</v>
      </c>
      <c r="H21" s="11"/>
    </row>
    <row r="22" customFormat="false" ht="15" hidden="false" customHeight="true" outlineLevel="0" collapsed="false">
      <c r="A22" s="7" t="s">
        <v>32</v>
      </c>
      <c r="B22" s="7" t="s">
        <v>135</v>
      </c>
      <c r="C22" s="7" t="s">
        <v>136</v>
      </c>
      <c r="D22" s="9"/>
      <c r="E22" s="9"/>
      <c r="F22" s="9"/>
      <c r="G22" s="23" t="n">
        <f aca="false">Entradas!$D$7*Entradas!$D$8*60</f>
        <v>960</v>
      </c>
      <c r="H22" s="11" t="s">
        <v>137</v>
      </c>
    </row>
    <row r="23" customFormat="false" ht="15" hidden="false" customHeight="true" outlineLevel="0" collapsed="false">
      <c r="A23" s="7" t="s">
        <v>32</v>
      </c>
      <c r="B23" s="7" t="s">
        <v>138</v>
      </c>
      <c r="C23" s="7" t="s">
        <v>139</v>
      </c>
      <c r="D23" s="9"/>
      <c r="E23" s="9"/>
      <c r="F23" s="9"/>
      <c r="G23" s="21" t="n">
        <f aca="false">MAX(COUNTIF(Entradas!D21:F21,"&gt;0")-1,0)</f>
        <v>2</v>
      </c>
      <c r="H23" s="11" t="s">
        <v>140</v>
      </c>
    </row>
    <row r="24" customFormat="false" ht="21.75" hidden="false" customHeight="true" outlineLevel="0" collapsed="false">
      <c r="A24" s="7" t="s">
        <v>32</v>
      </c>
      <c r="B24" s="7" t="s">
        <v>141</v>
      </c>
      <c r="C24" s="7" t="s">
        <v>136</v>
      </c>
      <c r="D24" s="9"/>
      <c r="E24" s="9"/>
      <c r="F24" s="9"/>
      <c r="G24" s="23" t="n">
        <f aca="false">SUMPRODUCT($D$10:$F$10,Entradas!D26:F26+Entradas!D27:F27)/G21+G23*Entradas!$D$11</f>
        <v>176.666666666667</v>
      </c>
      <c r="H24" s="11" t="s">
        <v>142</v>
      </c>
    </row>
    <row r="25" customFormat="false" ht="15" hidden="false" customHeight="true" outlineLevel="0" collapsed="false">
      <c r="A25" s="7" t="s">
        <v>32</v>
      </c>
      <c r="B25" s="7" t="s">
        <v>143</v>
      </c>
      <c r="C25" s="7" t="s">
        <v>136</v>
      </c>
      <c r="D25" s="9"/>
      <c r="E25" s="9"/>
      <c r="F25" s="9"/>
      <c r="G25" s="23" t="n">
        <f aca="false">G22-G24</f>
        <v>783.333333333333</v>
      </c>
      <c r="H25" s="11"/>
    </row>
    <row r="26" customFormat="false" ht="15" hidden="false" customHeight="true" outlineLevel="0" collapsed="false">
      <c r="A26" s="7" t="s">
        <v>32</v>
      </c>
      <c r="B26" s="7" t="s">
        <v>144</v>
      </c>
      <c r="C26" s="7" t="s">
        <v>39</v>
      </c>
      <c r="D26" s="9"/>
      <c r="E26" s="9"/>
      <c r="F26" s="9"/>
      <c r="G26" s="24" t="n">
        <f aca="false">Entradas!$D$12/(Entradas!$D$12+Entradas!$D$13)</f>
        <v>0.846153846153846</v>
      </c>
      <c r="H26" s="11" t="s">
        <v>145</v>
      </c>
    </row>
    <row r="27" customFormat="false" ht="15" hidden="false" customHeight="true" outlineLevel="0" collapsed="false">
      <c r="A27" s="7" t="s">
        <v>32</v>
      </c>
      <c r="B27" s="7" t="s">
        <v>146</v>
      </c>
      <c r="C27" s="7" t="s">
        <v>136</v>
      </c>
      <c r="D27" s="9"/>
      <c r="E27" s="9"/>
      <c r="F27" s="9"/>
      <c r="G27" s="23" t="n">
        <f aca="false">G25*G26</f>
        <v>662.820512820513</v>
      </c>
      <c r="H27" s="11" t="s">
        <v>147</v>
      </c>
    </row>
    <row r="28" customFormat="false" ht="15" hidden="false" customHeight="true" outlineLevel="0" collapsed="false">
      <c r="A28" s="7" t="s">
        <v>32</v>
      </c>
      <c r="B28" s="7" t="s">
        <v>148</v>
      </c>
      <c r="C28" s="7" t="s">
        <v>136</v>
      </c>
      <c r="D28" s="9"/>
      <c r="E28" s="9"/>
      <c r="F28" s="9"/>
      <c r="G28" s="23" t="n">
        <f aca="false">G25-G27</f>
        <v>120.512820512821</v>
      </c>
      <c r="H28" s="11"/>
    </row>
    <row r="29" customFormat="false" ht="15" hidden="false" customHeight="true" outlineLevel="0" collapsed="false">
      <c r="A29" s="7" t="s">
        <v>32</v>
      </c>
      <c r="B29" s="7" t="s">
        <v>149</v>
      </c>
      <c r="C29" s="7" t="s">
        <v>39</v>
      </c>
      <c r="D29" s="9"/>
      <c r="E29" s="9"/>
      <c r="F29" s="9"/>
      <c r="G29" s="24" t="n">
        <f aca="false">Entradas!$D$14*Entradas!$D$15</f>
        <v>0.8096</v>
      </c>
      <c r="H29" s="11"/>
    </row>
    <row r="30" customFormat="false" ht="15" hidden="false" customHeight="true" outlineLevel="0" collapsed="false">
      <c r="A30" s="7" t="s">
        <v>32</v>
      </c>
      <c r="B30" s="7" t="s">
        <v>150</v>
      </c>
      <c r="C30" s="7" t="s">
        <v>39</v>
      </c>
      <c r="D30" s="9"/>
      <c r="E30" s="9"/>
      <c r="F30" s="9"/>
      <c r="G30" s="24" t="n">
        <f aca="false">SUMPRODUCT($D$10:$F$10,$D$8:$F$8,1-Entradas!D24:F24)/SUMPRODUCT($D$10:$F$10,$D$8:$F$8)</f>
        <v>0.98</v>
      </c>
      <c r="H30" s="11" t="s">
        <v>151</v>
      </c>
    </row>
    <row r="31" customFormat="false" ht="15" hidden="false" customHeight="true" outlineLevel="0" collapsed="false">
      <c r="A31" s="7" t="s">
        <v>32</v>
      </c>
      <c r="B31" s="7" t="s">
        <v>152</v>
      </c>
      <c r="C31" s="7" t="s">
        <v>39</v>
      </c>
      <c r="D31" s="9"/>
      <c r="E31" s="9"/>
      <c r="F31" s="9"/>
      <c r="G31" s="24" t="n">
        <f aca="false">G26*G29*G30</f>
        <v>0.671345230769231</v>
      </c>
      <c r="H31" s="11" t="s">
        <v>153</v>
      </c>
    </row>
    <row r="33" customFormat="false" ht="15" hidden="false" customHeight="true" outlineLevel="0" collapsed="false">
      <c r="A33" s="4" t="s">
        <v>154</v>
      </c>
      <c r="B33" s="5"/>
      <c r="C33" s="5"/>
      <c r="D33" s="5"/>
      <c r="E33" s="5"/>
      <c r="F33" s="5"/>
      <c r="G33" s="5"/>
      <c r="H33" s="5"/>
    </row>
    <row r="34" customFormat="false" ht="15" hidden="false" customHeight="true" outlineLevel="0" collapsed="false">
      <c r="A34" s="6" t="s">
        <v>3</v>
      </c>
      <c r="B34" s="6" t="s">
        <v>104</v>
      </c>
      <c r="C34" s="6" t="s">
        <v>5</v>
      </c>
      <c r="D34" s="6" t="s">
        <v>105</v>
      </c>
      <c r="E34" s="6" t="s">
        <v>106</v>
      </c>
      <c r="F34" s="6" t="s">
        <v>107</v>
      </c>
      <c r="G34" s="6" t="s">
        <v>108</v>
      </c>
      <c r="H34" s="6" t="s">
        <v>109</v>
      </c>
    </row>
    <row r="35" customFormat="false" ht="15" hidden="false" customHeight="true" outlineLevel="0" collapsed="false">
      <c r="A35" s="7" t="s">
        <v>32</v>
      </c>
      <c r="B35" s="7" t="s">
        <v>155</v>
      </c>
      <c r="C35" s="7" t="s">
        <v>121</v>
      </c>
      <c r="D35" s="9"/>
      <c r="E35" s="9"/>
      <c r="F35" s="9"/>
      <c r="G35" s="21" t="n">
        <f aca="false">G10</f>
        <v>7</v>
      </c>
      <c r="H35" s="11"/>
    </row>
    <row r="36" customFormat="false" ht="15" hidden="false" customHeight="true" outlineLevel="0" collapsed="false">
      <c r="A36" s="7" t="s">
        <v>32</v>
      </c>
      <c r="B36" s="7" t="s">
        <v>156</v>
      </c>
      <c r="C36" s="7" t="s">
        <v>75</v>
      </c>
      <c r="D36" s="9"/>
      <c r="E36" s="9"/>
      <c r="F36" s="9"/>
      <c r="G36" s="28" t="n">
        <f aca="false">G27/G35</f>
        <v>94.6886446886447</v>
      </c>
      <c r="H36" s="11" t="s">
        <v>157</v>
      </c>
    </row>
    <row r="37" customFormat="false" ht="15" hidden="false" customHeight="true" outlineLevel="0" collapsed="false">
      <c r="A37" s="7" t="s">
        <v>32</v>
      </c>
      <c r="B37" s="7" t="s">
        <v>158</v>
      </c>
      <c r="C37" s="7" t="s">
        <v>159</v>
      </c>
      <c r="D37" s="9"/>
      <c r="E37" s="9"/>
      <c r="F37" s="9"/>
      <c r="G37" s="22" t="n">
        <f aca="false">G27*60/G6</f>
        <v>13.2564102564103</v>
      </c>
      <c r="H37" s="11"/>
    </row>
    <row r="38" customFormat="false" ht="15" hidden="false" customHeight="true" outlineLevel="0" collapsed="false">
      <c r="A38" s="7" t="s">
        <v>32</v>
      </c>
      <c r="B38" s="7" t="s">
        <v>160</v>
      </c>
      <c r="C38" s="7" t="s">
        <v>75</v>
      </c>
      <c r="D38" s="9"/>
      <c r="E38" s="9"/>
      <c r="F38" s="9"/>
      <c r="G38" s="28" t="n">
        <f aca="false">SUMPRODUCT($D$10:$F$10,Entradas!D25:F25)*60/G35</f>
        <v>182.571428571429</v>
      </c>
      <c r="H38" s="11"/>
    </row>
    <row r="39" customFormat="false" ht="15" hidden="false" customHeight="true" outlineLevel="0" collapsed="false">
      <c r="A39" s="7" t="s">
        <v>32</v>
      </c>
      <c r="B39" s="7" t="s">
        <v>161</v>
      </c>
      <c r="C39" s="7" t="s">
        <v>75</v>
      </c>
      <c r="D39" s="9"/>
      <c r="E39" s="9"/>
      <c r="F39" s="9"/>
      <c r="G39" s="28" t="n">
        <f aca="false">G38/G29</f>
        <v>225.508187464709</v>
      </c>
      <c r="H39" s="11" t="s">
        <v>162</v>
      </c>
    </row>
    <row r="40" customFormat="false" ht="15" hidden="false" customHeight="true" outlineLevel="0" collapsed="false">
      <c r="A40" s="7" t="s">
        <v>163</v>
      </c>
      <c r="B40" s="7" t="s">
        <v>164</v>
      </c>
      <c r="C40" s="7" t="s">
        <v>75</v>
      </c>
      <c r="D40" s="9"/>
      <c r="E40" s="9"/>
      <c r="F40" s="9"/>
      <c r="G40" s="28" t="n">
        <f aca="false">G39/G21</f>
        <v>75.1693958215697</v>
      </c>
      <c r="H40" s="11" t="s">
        <v>165</v>
      </c>
    </row>
    <row r="41" customFormat="false" ht="15" hidden="false" customHeight="true" outlineLevel="0" collapsed="false">
      <c r="A41" s="7" t="s">
        <v>32</v>
      </c>
      <c r="B41" s="7" t="s">
        <v>166</v>
      </c>
      <c r="C41" s="7" t="s">
        <v>39</v>
      </c>
      <c r="D41" s="9"/>
      <c r="E41" s="9"/>
      <c r="F41" s="9"/>
      <c r="G41" s="24" t="n">
        <f aca="false">(G36-G40)/G36</f>
        <v>0.206141390356343</v>
      </c>
      <c r="H41" s="11"/>
    </row>
    <row r="42" customFormat="false" ht="15" hidden="false" customHeight="true" outlineLevel="0" collapsed="false">
      <c r="A42" s="7" t="s">
        <v>32</v>
      </c>
      <c r="B42" s="7" t="s">
        <v>167</v>
      </c>
      <c r="C42" s="7" t="s">
        <v>168</v>
      </c>
      <c r="D42" s="9"/>
      <c r="E42" s="9"/>
      <c r="F42" s="9"/>
      <c r="G42" s="29" t="str">
        <f aca="false">IF(G40&lt;=G36,"Cumple el Takt","No cumple: más equipos, ciclos más cortos o menor demanda")</f>
        <v>Cumple el Takt</v>
      </c>
      <c r="H42" s="11" t="s">
        <v>169</v>
      </c>
    </row>
    <row r="44" customFormat="false" ht="15" hidden="false" customHeight="true" outlineLevel="0" collapsed="false">
      <c r="A44" s="4" t="s">
        <v>170</v>
      </c>
      <c r="B44" s="5"/>
      <c r="C44" s="5"/>
      <c r="D44" s="5"/>
      <c r="E44" s="5"/>
      <c r="F44" s="5"/>
      <c r="G44" s="5"/>
      <c r="H44" s="5"/>
    </row>
    <row r="45" customFormat="false" ht="15" hidden="false" customHeight="true" outlineLevel="0" collapsed="false">
      <c r="A45" s="6" t="s">
        <v>3</v>
      </c>
      <c r="B45" s="6" t="s">
        <v>104</v>
      </c>
      <c r="C45" s="6" t="s">
        <v>5</v>
      </c>
      <c r="D45" s="6" t="s">
        <v>105</v>
      </c>
      <c r="E45" s="6" t="s">
        <v>106</v>
      </c>
      <c r="F45" s="6" t="s">
        <v>107</v>
      </c>
      <c r="G45" s="6" t="s">
        <v>108</v>
      </c>
      <c r="H45" s="6" t="s">
        <v>109</v>
      </c>
    </row>
    <row r="46" customFormat="false" ht="15" hidden="false" customHeight="true" outlineLevel="0" collapsed="false">
      <c r="A46" s="7" t="s">
        <v>171</v>
      </c>
      <c r="B46" s="7" t="s">
        <v>172</v>
      </c>
      <c r="C46" s="7" t="s">
        <v>173</v>
      </c>
      <c r="D46" s="19" t="n">
        <f aca="false">D7/Entradas!D25</f>
        <v>1551.72413793103</v>
      </c>
      <c r="E46" s="19" t="n">
        <f aca="false">E7/Entradas!E25</f>
        <v>1551.72413793103</v>
      </c>
      <c r="F46" s="19" t="n">
        <f aca="false">F7/Entradas!F25</f>
        <v>1323.52941176471</v>
      </c>
      <c r="G46" s="9"/>
      <c r="H46" s="11" t="s">
        <v>174</v>
      </c>
    </row>
    <row r="47" customFormat="false" ht="15" hidden="false" customHeight="true" outlineLevel="0" collapsed="false">
      <c r="A47" s="7" t="s">
        <v>175</v>
      </c>
      <c r="B47" s="7" t="s">
        <v>176</v>
      </c>
      <c r="C47" s="7" t="s">
        <v>177</v>
      </c>
      <c r="D47" s="19" t="n">
        <f aca="false">D9/(Entradas!D25/$G$29+(Entradas!D26+Entradas!D27)/60)</f>
        <v>119.854621409922</v>
      </c>
      <c r="E47" s="19" t="n">
        <f aca="false">E9/(Entradas!E25/$G$29+(Entradas!E26+Entradas!E27)/60)</f>
        <v>109.866736292428</v>
      </c>
      <c r="F47" s="19" t="n">
        <f aca="false">F9/(Entradas!F25/$G$29+(Entradas!F26+Entradas!F27)/60)</f>
        <v>87.62277486911</v>
      </c>
      <c r="G47" s="9"/>
      <c r="H47" s="11" t="s">
        <v>178</v>
      </c>
    </row>
    <row r="48" customFormat="false" ht="15" hidden="false" customHeight="true" outlineLevel="0" collapsed="false">
      <c r="A48" s="7" t="s">
        <v>32</v>
      </c>
      <c r="B48" s="7" t="s">
        <v>179</v>
      </c>
      <c r="C48" s="7" t="s">
        <v>180</v>
      </c>
      <c r="D48" s="21" t="n">
        <f aca="false">$G$21*INT(Entradas!$D$8/(Entradas!D25/$G$29+(Entradas!D26+Entradas!D27)/60))</f>
        <v>3</v>
      </c>
      <c r="E48" s="21" t="n">
        <f aca="false">$G$21*INT(Entradas!$D$8/(Entradas!E25/$G$29+(Entradas!E26+Entradas!E27)/60))</f>
        <v>3</v>
      </c>
      <c r="F48" s="21" t="n">
        <f aca="false">$G$21*INT(Entradas!$D$8/(Entradas!F25/$G$29+(Entradas!F26+Entradas!F27)/60))</f>
        <v>3</v>
      </c>
      <c r="G48" s="9"/>
      <c r="H48" s="11" t="s">
        <v>181</v>
      </c>
    </row>
    <row r="49" customFormat="false" ht="15" hidden="false" customHeight="true" outlineLevel="0" collapsed="false">
      <c r="A49" s="7" t="s">
        <v>182</v>
      </c>
      <c r="B49" s="7" t="s">
        <v>183</v>
      </c>
      <c r="C49" s="7" t="s">
        <v>184</v>
      </c>
      <c r="D49" s="23" t="n">
        <f aca="false">D48*D9</f>
        <v>1587.6</v>
      </c>
      <c r="E49" s="23" t="n">
        <f aca="false">E48*E9</f>
        <v>1455.3</v>
      </c>
      <c r="F49" s="23" t="n">
        <f aca="false">F48*F9</f>
        <v>1323</v>
      </c>
      <c r="G49" s="9"/>
      <c r="H49" s="11"/>
    </row>
    <row r="50" customFormat="false" ht="15" hidden="false" customHeight="true" outlineLevel="0" collapsed="false">
      <c r="A50" s="7" t="s">
        <v>185</v>
      </c>
      <c r="B50" s="7" t="s">
        <v>186</v>
      </c>
      <c r="C50" s="7" t="s">
        <v>11</v>
      </c>
      <c r="D50" s="23" t="n">
        <f aca="false">D49*Entradas!$D$7</f>
        <v>3175.2</v>
      </c>
      <c r="E50" s="23" t="n">
        <f aca="false">E49*Entradas!$D$7</f>
        <v>2910.6</v>
      </c>
      <c r="F50" s="23" t="n">
        <f aca="false">F49*Entradas!$D$7</f>
        <v>2646</v>
      </c>
      <c r="G50" s="9"/>
      <c r="H50" s="11"/>
    </row>
    <row r="51" customFormat="false" ht="15" hidden="false" customHeight="true" outlineLevel="0" collapsed="false">
      <c r="A51" s="7" t="s">
        <v>32</v>
      </c>
      <c r="B51" s="7" t="s">
        <v>187</v>
      </c>
      <c r="C51" s="7" t="s">
        <v>188</v>
      </c>
      <c r="D51" s="23" t="n">
        <f aca="false">D50*Entradas!$D$9</f>
        <v>19051.2</v>
      </c>
      <c r="E51" s="23" t="n">
        <f aca="false">E50*Entradas!$D$9</f>
        <v>17463.6</v>
      </c>
      <c r="F51" s="23" t="n">
        <f aca="false">F50*Entradas!$D$9</f>
        <v>15876</v>
      </c>
      <c r="G51" s="9"/>
      <c r="H51" s="11"/>
    </row>
    <row r="52" customFormat="false" ht="15" hidden="false" customHeight="true" outlineLevel="0" collapsed="false">
      <c r="A52" s="7" t="s">
        <v>189</v>
      </c>
      <c r="B52" s="7" t="s">
        <v>190</v>
      </c>
      <c r="C52" s="7" t="s">
        <v>191</v>
      </c>
      <c r="D52" s="9"/>
      <c r="E52" s="9"/>
      <c r="F52" s="9"/>
      <c r="G52" s="19" t="n">
        <f aca="false">G12/(SUMPRODUCT($D$10:$F$10,Entradas!D25:F25/G29+(Entradas!D26:F26+Entradas!D27:F27)/60)/G21)</f>
        <v>321.050349951325</v>
      </c>
      <c r="H52" s="11" t="s">
        <v>192</v>
      </c>
    </row>
    <row r="53" customFormat="false" ht="15" hidden="false" customHeight="true" outlineLevel="0" collapsed="false">
      <c r="A53" s="7" t="s">
        <v>32</v>
      </c>
      <c r="B53" s="7" t="s">
        <v>193</v>
      </c>
      <c r="C53" s="7" t="s">
        <v>194</v>
      </c>
      <c r="D53" s="9"/>
      <c r="E53" s="9"/>
      <c r="F53" s="9"/>
      <c r="G53" s="28" t="n">
        <f aca="false">(G22-G23*Entradas!$D$11)*G26/60</f>
        <v>12.6923076923077</v>
      </c>
      <c r="H53" s="11" t="s">
        <v>195</v>
      </c>
    </row>
    <row r="54" customFormat="false" ht="15" hidden="false" customHeight="true" outlineLevel="0" collapsed="false">
      <c r="A54" s="7" t="s">
        <v>185</v>
      </c>
      <c r="B54" s="7" t="s">
        <v>196</v>
      </c>
      <c r="C54" s="7" t="s">
        <v>11</v>
      </c>
      <c r="D54" s="9"/>
      <c r="E54" s="9"/>
      <c r="F54" s="9"/>
      <c r="G54" s="23" t="n">
        <f aca="false">G52*G53</f>
        <v>4074.86982630527</v>
      </c>
      <c r="H54" s="11"/>
    </row>
    <row r="55" customFormat="false" ht="15" hidden="false" customHeight="true" outlineLevel="0" collapsed="false">
      <c r="A55" s="7" t="s">
        <v>182</v>
      </c>
      <c r="B55" s="7" t="s">
        <v>197</v>
      </c>
      <c r="C55" s="7" t="s">
        <v>184</v>
      </c>
      <c r="D55" s="9"/>
      <c r="E55" s="9"/>
      <c r="F55" s="9"/>
      <c r="G55" s="23" t="n">
        <f aca="false">G54/Entradas!$D$7</f>
        <v>2037.43491315264</v>
      </c>
      <c r="H55" s="11"/>
    </row>
    <row r="56" customFormat="false" ht="15" hidden="false" customHeight="true" outlineLevel="0" collapsed="false">
      <c r="A56" s="7" t="s">
        <v>198</v>
      </c>
      <c r="B56" s="7" t="s">
        <v>199</v>
      </c>
      <c r="C56" s="7" t="s">
        <v>191</v>
      </c>
      <c r="D56" s="9"/>
      <c r="E56" s="9"/>
      <c r="F56" s="9"/>
      <c r="G56" s="19" t="n">
        <f aca="false">G54/(Entradas!$D$7*Entradas!$D$8)</f>
        <v>254.67936414408</v>
      </c>
      <c r="H56" s="11"/>
    </row>
    <row r="57" customFormat="false" ht="15" hidden="false" customHeight="true" outlineLevel="0" collapsed="false">
      <c r="A57" s="7" t="s">
        <v>200</v>
      </c>
      <c r="B57" s="7" t="s">
        <v>201</v>
      </c>
      <c r="C57" s="7" t="s">
        <v>11</v>
      </c>
      <c r="D57" s="9"/>
      <c r="E57" s="9"/>
      <c r="F57" s="9"/>
      <c r="G57" s="23" t="n">
        <f aca="false">G21*Entradas!$D$7*Entradas!$D$8*G12/SUMPRODUCT($D$10:$F$10,Entradas!D25:F25)</f>
        <v>7751.66197183099</v>
      </c>
      <c r="H57" s="11" t="s">
        <v>202</v>
      </c>
    </row>
    <row r="58" customFormat="false" ht="15" hidden="false" customHeight="true" outlineLevel="0" collapsed="false">
      <c r="A58" s="7" t="s">
        <v>203</v>
      </c>
      <c r="B58" s="7" t="s">
        <v>204</v>
      </c>
      <c r="C58" s="7" t="s">
        <v>39</v>
      </c>
      <c r="D58" s="9"/>
      <c r="E58" s="9"/>
      <c r="F58" s="9"/>
      <c r="G58" s="24" t="n">
        <f aca="false">G12/G57</f>
        <v>0.44375</v>
      </c>
      <c r="H58" s="11" t="s">
        <v>205</v>
      </c>
    </row>
    <row r="59" customFormat="false" ht="15" hidden="false" customHeight="true" outlineLevel="0" collapsed="false">
      <c r="A59" s="7" t="s">
        <v>206</v>
      </c>
      <c r="B59" s="7" t="s">
        <v>207</v>
      </c>
      <c r="C59" s="7" t="s">
        <v>39</v>
      </c>
      <c r="D59" s="9"/>
      <c r="E59" s="9"/>
      <c r="F59" s="9"/>
      <c r="G59" s="24" t="n">
        <f aca="false">SUMPRODUCT($D$10:$F$10,Entradas!D25:F25)*60/G29/(G21*G27)</f>
        <v>0.793858609643657</v>
      </c>
      <c r="H59" s="11" t="s">
        <v>208</v>
      </c>
    </row>
    <row r="61" customFormat="false" ht="15" hidden="false" customHeight="true" outlineLevel="0" collapsed="false">
      <c r="A61" s="4" t="s">
        <v>209</v>
      </c>
      <c r="B61" s="5"/>
      <c r="C61" s="5"/>
      <c r="D61" s="5"/>
      <c r="E61" s="5"/>
      <c r="F61" s="5"/>
      <c r="G61" s="5"/>
      <c r="H61" s="5"/>
    </row>
    <row r="62" customFormat="false" ht="15" hidden="false" customHeight="true" outlineLevel="0" collapsed="false">
      <c r="A62" s="6" t="s">
        <v>3</v>
      </c>
      <c r="B62" s="6" t="s">
        <v>104</v>
      </c>
      <c r="C62" s="6" t="s">
        <v>5</v>
      </c>
      <c r="D62" s="6" t="s">
        <v>105</v>
      </c>
      <c r="E62" s="6" t="s">
        <v>106</v>
      </c>
      <c r="F62" s="6" t="s">
        <v>107</v>
      </c>
      <c r="G62" s="6" t="s">
        <v>108</v>
      </c>
      <c r="H62" s="6" t="s">
        <v>109</v>
      </c>
    </row>
    <row r="63" customFormat="false" ht="15" hidden="false" customHeight="true" outlineLevel="0" collapsed="false">
      <c r="A63" s="7" t="s">
        <v>73</v>
      </c>
      <c r="B63" s="7" t="s">
        <v>210</v>
      </c>
      <c r="C63" s="7" t="s">
        <v>34</v>
      </c>
      <c r="D63" s="30" t="n">
        <f aca="false">Entradas!D26/60</f>
        <v>0</v>
      </c>
      <c r="E63" s="30" t="n">
        <f aca="false">Entradas!E26/60</f>
        <v>0</v>
      </c>
      <c r="F63" s="30" t="n">
        <f aca="false">Entradas!F26/60</f>
        <v>0</v>
      </c>
      <c r="G63" s="9"/>
      <c r="H63" s="11" t="s">
        <v>211</v>
      </c>
    </row>
    <row r="64" customFormat="false" ht="15" hidden="false" customHeight="true" outlineLevel="0" collapsed="false">
      <c r="A64" s="7" t="s">
        <v>80</v>
      </c>
      <c r="B64" s="7" t="s">
        <v>81</v>
      </c>
      <c r="C64" s="7" t="s">
        <v>34</v>
      </c>
      <c r="D64" s="31" t="n">
        <f aca="false">Entradas!D28</f>
        <v>12</v>
      </c>
      <c r="E64" s="31" t="n">
        <f aca="false">Entradas!E28</f>
        <v>12</v>
      </c>
      <c r="F64" s="31" t="n">
        <f aca="false">Entradas!F28</f>
        <v>12</v>
      </c>
      <c r="G64" s="9"/>
      <c r="H64" s="11"/>
    </row>
    <row r="65" customFormat="false" ht="15" hidden="false" customHeight="true" outlineLevel="0" collapsed="false">
      <c r="A65" s="7" t="s">
        <v>83</v>
      </c>
      <c r="B65" s="7" t="s">
        <v>212</v>
      </c>
      <c r="C65" s="7" t="s">
        <v>34</v>
      </c>
      <c r="D65" s="31" t="n">
        <f aca="false">Entradas!D29</f>
        <v>4.2</v>
      </c>
      <c r="E65" s="31" t="n">
        <f aca="false">Entradas!E29</f>
        <v>5.2</v>
      </c>
      <c r="F65" s="31" t="n">
        <f aca="false">Entradas!F29</f>
        <v>41.1</v>
      </c>
      <c r="G65" s="9"/>
      <c r="H65" s="11" t="s">
        <v>213</v>
      </c>
    </row>
    <row r="66" customFormat="false" ht="15" hidden="false" customHeight="true" outlineLevel="0" collapsed="false">
      <c r="A66" s="7" t="s">
        <v>87</v>
      </c>
      <c r="B66" s="7" t="s">
        <v>214</v>
      </c>
      <c r="C66" s="7" t="s">
        <v>34</v>
      </c>
      <c r="D66" s="31" t="n">
        <f aca="false">Entradas!D30</f>
        <v>0</v>
      </c>
      <c r="E66" s="31" t="n">
        <f aca="false">Entradas!E30</f>
        <v>0.5</v>
      </c>
      <c r="F66" s="31" t="n">
        <f aca="false">Entradas!F30</f>
        <v>12</v>
      </c>
      <c r="G66" s="9"/>
      <c r="H66" s="11" t="s">
        <v>215</v>
      </c>
    </row>
    <row r="67" customFormat="false" ht="15" hidden="false" customHeight="true" outlineLevel="0" collapsed="false">
      <c r="A67" s="7" t="s">
        <v>90</v>
      </c>
      <c r="B67" s="7" t="s">
        <v>91</v>
      </c>
      <c r="C67" s="7" t="s">
        <v>34</v>
      </c>
      <c r="D67" s="30" t="n">
        <f aca="false">Entradas!D31</f>
        <v>12</v>
      </c>
      <c r="E67" s="30" t="n">
        <f aca="false">Entradas!E31</f>
        <v>1.25</v>
      </c>
      <c r="F67" s="30" t="n">
        <f aca="false">Entradas!F31</f>
        <v>2.5</v>
      </c>
      <c r="G67" s="9"/>
      <c r="H67" s="11"/>
    </row>
    <row r="68" customFormat="false" ht="15" hidden="false" customHeight="true" outlineLevel="0" collapsed="false">
      <c r="A68" s="7" t="s">
        <v>93</v>
      </c>
      <c r="B68" s="7" t="s">
        <v>94</v>
      </c>
      <c r="C68" s="7" t="s">
        <v>34</v>
      </c>
      <c r="D68" s="20" t="n">
        <f aca="false">Entradas!D32*24</f>
        <v>0</v>
      </c>
      <c r="E68" s="20" t="n">
        <f aca="false">Entradas!E32*24</f>
        <v>0</v>
      </c>
      <c r="F68" s="20" t="n">
        <f aca="false">Entradas!F32*24</f>
        <v>3600</v>
      </c>
      <c r="G68" s="9"/>
      <c r="H68" s="11" t="s">
        <v>216</v>
      </c>
    </row>
    <row r="69" customFormat="false" ht="15" hidden="false" customHeight="true" outlineLevel="0" collapsed="false">
      <c r="A69" s="7" t="s">
        <v>97</v>
      </c>
      <c r="B69" s="7" t="s">
        <v>217</v>
      </c>
      <c r="C69" s="7" t="s">
        <v>34</v>
      </c>
      <c r="D69" s="27" t="n">
        <f aca="false">Entradas!D33</f>
        <v>72</v>
      </c>
      <c r="E69" s="27" t="n">
        <f aca="false">Entradas!E33</f>
        <v>72</v>
      </c>
      <c r="F69" s="27" t="n">
        <f aca="false">Entradas!F33</f>
        <v>120</v>
      </c>
      <c r="G69" s="9"/>
      <c r="H69" s="11"/>
    </row>
    <row r="70" customFormat="false" ht="21.75" hidden="false" customHeight="true" outlineLevel="0" collapsed="false">
      <c r="A70" s="7" t="s">
        <v>218</v>
      </c>
      <c r="B70" s="7" t="s">
        <v>219</v>
      </c>
      <c r="C70" s="7" t="s">
        <v>34</v>
      </c>
      <c r="D70" s="32" t="n">
        <f aca="false">SUM(D63:D69)</f>
        <v>100.2</v>
      </c>
      <c r="E70" s="32" t="n">
        <f aca="false">SUM(E63:E69)</f>
        <v>90.95</v>
      </c>
      <c r="F70" s="32" t="n">
        <f aca="false">SUM(F63:F69)</f>
        <v>3787.6</v>
      </c>
      <c r="G70" s="9"/>
      <c r="H70" s="11" t="s">
        <v>220</v>
      </c>
    </row>
    <row r="71" customFormat="false" ht="15" hidden="false" customHeight="true" outlineLevel="0" collapsed="false">
      <c r="A71" s="7" t="s">
        <v>32</v>
      </c>
      <c r="B71" s="7" t="s">
        <v>219</v>
      </c>
      <c r="C71" s="7" t="s">
        <v>95</v>
      </c>
      <c r="D71" s="31" t="n">
        <f aca="false">D70/24</f>
        <v>4.175</v>
      </c>
      <c r="E71" s="31" t="n">
        <f aca="false">E70/24</f>
        <v>3.78958333333333</v>
      </c>
      <c r="F71" s="31" t="n">
        <f aca="false">F70/24</f>
        <v>157.816666666667</v>
      </c>
      <c r="G71" s="9"/>
      <c r="H71" s="11" t="s">
        <v>221</v>
      </c>
    </row>
    <row r="72" customFormat="false" ht="15" hidden="false" customHeight="true" outlineLevel="0" collapsed="false">
      <c r="A72" s="7" t="s">
        <v>32</v>
      </c>
      <c r="B72" s="7" t="s">
        <v>222</v>
      </c>
      <c r="C72" s="7" t="s">
        <v>34</v>
      </c>
      <c r="D72" s="30" t="n">
        <f aca="false">Entradas!D25</f>
        <v>2.9</v>
      </c>
      <c r="E72" s="30" t="n">
        <f aca="false">Entradas!E25</f>
        <v>2.9</v>
      </c>
      <c r="F72" s="30" t="n">
        <f aca="false">Entradas!F25</f>
        <v>3.4</v>
      </c>
      <c r="G72" s="9"/>
      <c r="H72" s="11"/>
    </row>
    <row r="73" customFormat="false" ht="15" hidden="false" customHeight="true" outlineLevel="0" collapsed="false">
      <c r="A73" s="7" t="s">
        <v>32</v>
      </c>
      <c r="B73" s="7" t="s">
        <v>223</v>
      </c>
      <c r="C73" s="7" t="s">
        <v>39</v>
      </c>
      <c r="D73" s="33" t="n">
        <f aca="false">D72/D70</f>
        <v>0.0289421157684631</v>
      </c>
      <c r="E73" s="33" t="n">
        <f aca="false">E72/E70</f>
        <v>0.0318856514568444</v>
      </c>
      <c r="F73" s="33" t="n">
        <f aca="false">F72/F70</f>
        <v>0.000897666068222621</v>
      </c>
      <c r="G73" s="9"/>
      <c r="H73" s="11" t="s">
        <v>224</v>
      </c>
    </row>
    <row r="74" customFormat="false" ht="21.75" hidden="false" customHeight="true" outlineLevel="0" collapsed="false">
      <c r="A74" s="7" t="s">
        <v>225</v>
      </c>
      <c r="B74" s="7" t="s">
        <v>226</v>
      </c>
      <c r="C74" s="7" t="s">
        <v>227</v>
      </c>
      <c r="D74" s="20" t="n">
        <f aca="false">D12*Entradas!D32*Entradas!$D$9/7</f>
        <v>0</v>
      </c>
      <c r="E74" s="20" t="n">
        <f aca="false">E12*Entradas!E32*Entradas!$D$9/7</f>
        <v>0</v>
      </c>
      <c r="F74" s="20" t="n">
        <f aca="false">F12*Entradas!F32*Entradas!$D$9/7</f>
        <v>113400</v>
      </c>
      <c r="G74" s="34" t="n">
        <f aca="false">SUM(D74:F74)</f>
        <v>113400</v>
      </c>
      <c r="H74" s="11" t="s">
        <v>228</v>
      </c>
    </row>
    <row r="75" customFormat="false" ht="15" hidden="false" customHeight="true" outlineLevel="0" collapsed="false">
      <c r="A75" s="7" t="s">
        <v>32</v>
      </c>
      <c r="B75" s="7" t="s">
        <v>229</v>
      </c>
      <c r="C75" s="7" t="s">
        <v>227</v>
      </c>
      <c r="D75" s="20" t="n">
        <f aca="false">D12*Entradas!D33/24</f>
        <v>4762.8</v>
      </c>
      <c r="E75" s="20" t="n">
        <f aca="false">E12*Entradas!E33/24</f>
        <v>2910.6</v>
      </c>
      <c r="F75" s="20" t="n">
        <f aca="false">F12*Entradas!F33/24</f>
        <v>4410</v>
      </c>
      <c r="G75" s="34" t="n">
        <f aca="false">SUM(D75:F75)</f>
        <v>12083.4</v>
      </c>
      <c r="H75" s="11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13.99"/>
    <col collapsed="false" customWidth="true" hidden="false" outlineLevel="0" max="2" min="2" style="1" width="52.07"/>
    <col collapsed="false" customWidth="true" hidden="false" outlineLevel="0" max="4" min="3" style="1" width="16.01"/>
    <col collapsed="false" customWidth="true" hidden="false" outlineLevel="0" max="5" min="5" style="1" width="57.97"/>
    <col collapsed="false" customWidth="true" hidden="false" outlineLevel="0" max="6" min="6" style="1" width="18.03"/>
  </cols>
  <sheetData>
    <row r="1" customFormat="false" ht="17.25" hidden="false" customHeight="true" outlineLevel="0" collapsed="false">
      <c r="A1" s="2" t="s">
        <v>231</v>
      </c>
    </row>
    <row r="2" customFormat="false" ht="15" hidden="false" customHeight="true" outlineLevel="0" collapsed="false">
      <c r="A2" s="3" t="s">
        <v>232</v>
      </c>
    </row>
    <row r="4" customFormat="false" ht="15" hidden="false" customHeight="true" outlineLevel="0" collapsed="false">
      <c r="A4" s="4" t="s">
        <v>233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6" t="s">
        <v>3</v>
      </c>
      <c r="B5" s="6" t="s">
        <v>234</v>
      </c>
      <c r="C5" s="6" t="s">
        <v>6</v>
      </c>
      <c r="D5" s="6" t="s">
        <v>5</v>
      </c>
      <c r="E5" s="6" t="s">
        <v>235</v>
      </c>
      <c r="F5" s="6" t="s">
        <v>7</v>
      </c>
    </row>
    <row r="6" customFormat="false" ht="15" hidden="false" customHeight="true" outlineLevel="0" collapsed="false">
      <c r="A6" s="7" t="s">
        <v>9</v>
      </c>
      <c r="B6" s="7" t="s">
        <v>236</v>
      </c>
      <c r="C6" s="20" t="n">
        <f aca="false">Cálculos!G6</f>
        <v>3000</v>
      </c>
      <c r="D6" s="7" t="s">
        <v>11</v>
      </c>
      <c r="E6" s="7" t="s">
        <v>237</v>
      </c>
      <c r="F6" s="7" t="s">
        <v>57</v>
      </c>
    </row>
    <row r="7" customFormat="false" ht="15" hidden="false" customHeight="true" outlineLevel="0" collapsed="false">
      <c r="A7" s="7" t="s">
        <v>32</v>
      </c>
      <c r="B7" s="7" t="s">
        <v>238</v>
      </c>
      <c r="C7" s="27" t="n">
        <f aca="false">Cálculos!G10</f>
        <v>7</v>
      </c>
      <c r="D7" s="7" t="s">
        <v>121</v>
      </c>
      <c r="E7" s="7" t="s">
        <v>239</v>
      </c>
      <c r="F7" s="7" t="s">
        <v>57</v>
      </c>
    </row>
    <row r="8" customFormat="false" ht="15" hidden="false" customHeight="true" outlineLevel="0" collapsed="false">
      <c r="A8" s="7" t="s">
        <v>32</v>
      </c>
      <c r="B8" s="7" t="s">
        <v>240</v>
      </c>
      <c r="C8" s="31" t="n">
        <f aca="false">Cálculos!G36</f>
        <v>94.6886446886447</v>
      </c>
      <c r="D8" s="7" t="s">
        <v>75</v>
      </c>
      <c r="E8" s="7" t="s">
        <v>241</v>
      </c>
      <c r="F8" s="7" t="s">
        <v>57</v>
      </c>
    </row>
    <row r="9" customFormat="false" ht="15" hidden="false" customHeight="true" outlineLevel="0" collapsed="false">
      <c r="A9" s="7" t="s">
        <v>32</v>
      </c>
      <c r="B9" s="7" t="s">
        <v>158</v>
      </c>
      <c r="C9" s="30" t="n">
        <f aca="false">Cálculos!G37</f>
        <v>13.2564102564103</v>
      </c>
      <c r="D9" s="7" t="s">
        <v>159</v>
      </c>
      <c r="E9" s="7" t="s">
        <v>242</v>
      </c>
      <c r="F9" s="7" t="s">
        <v>57</v>
      </c>
    </row>
    <row r="10" customFormat="false" ht="15" hidden="false" customHeight="true" outlineLevel="0" collapsed="false">
      <c r="A10" s="7" t="s">
        <v>163</v>
      </c>
      <c r="B10" s="7" t="s">
        <v>243</v>
      </c>
      <c r="C10" s="31" t="n">
        <f aca="false">Cálculos!G40</f>
        <v>75.1693958215697</v>
      </c>
      <c r="D10" s="7" t="s">
        <v>75</v>
      </c>
      <c r="E10" s="7" t="s">
        <v>244</v>
      </c>
      <c r="F10" s="7" t="s">
        <v>57</v>
      </c>
    </row>
    <row r="11" customFormat="false" ht="15" hidden="false" customHeight="true" outlineLevel="0" collapsed="false">
      <c r="A11" s="7" t="s">
        <v>32</v>
      </c>
      <c r="B11" s="7" t="s">
        <v>166</v>
      </c>
      <c r="C11" s="33" t="n">
        <f aca="false">Cálculos!G41</f>
        <v>0.206141390356343</v>
      </c>
      <c r="D11" s="7" t="s">
        <v>39</v>
      </c>
      <c r="E11" s="7" t="s">
        <v>245</v>
      </c>
      <c r="F11" s="7" t="s">
        <v>57</v>
      </c>
    </row>
    <row r="12" customFormat="false" ht="15" hidden="false" customHeight="true" outlineLevel="0" collapsed="false">
      <c r="A12" s="7" t="s">
        <v>32</v>
      </c>
      <c r="B12" s="7" t="s">
        <v>167</v>
      </c>
      <c r="C12" s="35" t="str">
        <f aca="false">Cálculos!G42</f>
        <v>Cumple el Takt</v>
      </c>
      <c r="D12" s="7" t="s">
        <v>168</v>
      </c>
      <c r="E12" s="7" t="s">
        <v>246</v>
      </c>
      <c r="F12" s="7" t="s">
        <v>57</v>
      </c>
    </row>
    <row r="14" customFormat="false" ht="15" hidden="false" customHeight="true" outlineLevel="0" collapsed="false">
      <c r="A14" s="4" t="s">
        <v>247</v>
      </c>
      <c r="B14" s="5"/>
      <c r="C14" s="5"/>
      <c r="D14" s="5"/>
      <c r="E14" s="5"/>
      <c r="F14" s="5"/>
    </row>
    <row r="15" customFormat="false" ht="15" hidden="false" customHeight="true" outlineLevel="0" collapsed="false">
      <c r="A15" s="6" t="s">
        <v>3</v>
      </c>
      <c r="B15" s="6" t="s">
        <v>234</v>
      </c>
      <c r="C15" s="6" t="s">
        <v>6</v>
      </c>
      <c r="D15" s="6" t="s">
        <v>5</v>
      </c>
      <c r="E15" s="6" t="s">
        <v>235</v>
      </c>
      <c r="F15" s="6" t="s">
        <v>7</v>
      </c>
    </row>
    <row r="16" customFormat="false" ht="15" hidden="false" customHeight="true" outlineLevel="0" collapsed="false">
      <c r="A16" s="7" t="s">
        <v>32</v>
      </c>
      <c r="B16" s="7" t="s">
        <v>248</v>
      </c>
      <c r="C16" s="33" t="n">
        <f aca="false">Cálculos!G26</f>
        <v>0.846153846153846</v>
      </c>
      <c r="D16" s="7" t="s">
        <v>39</v>
      </c>
      <c r="E16" s="7" t="s">
        <v>249</v>
      </c>
      <c r="F16" s="7" t="s">
        <v>57</v>
      </c>
    </row>
    <row r="17" customFormat="false" ht="15" hidden="false" customHeight="true" outlineLevel="0" collapsed="false">
      <c r="A17" s="7" t="s">
        <v>32</v>
      </c>
      <c r="B17" s="7" t="s">
        <v>250</v>
      </c>
      <c r="C17" s="33" t="n">
        <f aca="false">Cálculos!G29</f>
        <v>0.8096</v>
      </c>
      <c r="D17" s="7" t="s">
        <v>39</v>
      </c>
      <c r="E17" s="7" t="s">
        <v>251</v>
      </c>
      <c r="F17" s="7" t="s">
        <v>57</v>
      </c>
    </row>
    <row r="18" customFormat="false" ht="15" hidden="false" customHeight="true" outlineLevel="0" collapsed="false">
      <c r="A18" s="7" t="s">
        <v>32</v>
      </c>
      <c r="B18" s="7" t="s">
        <v>252</v>
      </c>
      <c r="C18" s="33" t="n">
        <f aca="false">Cálculos!G30</f>
        <v>0.98</v>
      </c>
      <c r="D18" s="7" t="s">
        <v>39</v>
      </c>
      <c r="E18" s="7" t="s">
        <v>253</v>
      </c>
      <c r="F18" s="7" t="s">
        <v>57</v>
      </c>
    </row>
    <row r="19" customFormat="false" ht="15" hidden="false" customHeight="true" outlineLevel="0" collapsed="false">
      <c r="A19" s="7" t="s">
        <v>32</v>
      </c>
      <c r="B19" s="7" t="s">
        <v>247</v>
      </c>
      <c r="C19" s="33" t="n">
        <f aca="false">Cálculos!G31</f>
        <v>0.671345230769231</v>
      </c>
      <c r="D19" s="7" t="s">
        <v>39</v>
      </c>
      <c r="E19" s="7" t="s">
        <v>254</v>
      </c>
      <c r="F19" s="7" t="s">
        <v>57</v>
      </c>
    </row>
    <row r="20" customFormat="false" ht="15" hidden="false" customHeight="true" outlineLevel="0" collapsed="false">
      <c r="A20" s="7" t="s">
        <v>32</v>
      </c>
      <c r="B20" s="7" t="s">
        <v>255</v>
      </c>
      <c r="C20" s="29" t="str">
        <f aca="false">INDEX($B$53:$B$57,MATCH(C19,$A$53:$A$57,1))</f>
        <v>Regular</v>
      </c>
      <c r="D20" s="7" t="s">
        <v>168</v>
      </c>
      <c r="E20" s="7" t="s">
        <v>256</v>
      </c>
      <c r="F20" s="7" t="s">
        <v>57</v>
      </c>
    </row>
    <row r="22" customFormat="false" ht="15" hidden="false" customHeight="true" outlineLevel="0" collapsed="false">
      <c r="A22" s="4" t="s">
        <v>257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6" t="s">
        <v>3</v>
      </c>
      <c r="B23" s="6" t="s">
        <v>234</v>
      </c>
      <c r="C23" s="6" t="s">
        <v>6</v>
      </c>
      <c r="D23" s="6" t="s">
        <v>5</v>
      </c>
      <c r="E23" s="6" t="s">
        <v>235</v>
      </c>
      <c r="F23" s="6" t="s">
        <v>7</v>
      </c>
    </row>
    <row r="24" customFormat="false" ht="15" hidden="false" customHeight="true" outlineLevel="0" collapsed="false">
      <c r="A24" s="7" t="s">
        <v>189</v>
      </c>
      <c r="B24" s="7" t="s">
        <v>258</v>
      </c>
      <c r="C24" s="32" t="n">
        <f aca="false">Cálculos!G52</f>
        <v>321.050349951325</v>
      </c>
      <c r="D24" s="7" t="s">
        <v>191</v>
      </c>
      <c r="E24" s="7" t="s">
        <v>192</v>
      </c>
      <c r="F24" s="7" t="s">
        <v>57</v>
      </c>
    </row>
    <row r="25" customFormat="false" ht="15" hidden="false" customHeight="true" outlineLevel="0" collapsed="false">
      <c r="A25" s="7" t="s">
        <v>185</v>
      </c>
      <c r="B25" s="7" t="s">
        <v>196</v>
      </c>
      <c r="C25" s="20" t="n">
        <f aca="false">Cálculos!G54</f>
        <v>4074.86982630527</v>
      </c>
      <c r="D25" s="7" t="s">
        <v>11</v>
      </c>
      <c r="E25" s="7" t="s">
        <v>259</v>
      </c>
      <c r="F25" s="7" t="s">
        <v>57</v>
      </c>
    </row>
    <row r="26" customFormat="false" ht="15" hidden="false" customHeight="true" outlineLevel="0" collapsed="false">
      <c r="A26" s="7" t="s">
        <v>182</v>
      </c>
      <c r="B26" s="7" t="s">
        <v>260</v>
      </c>
      <c r="C26" s="20" t="n">
        <f aca="false">Cálculos!G55</f>
        <v>2037.43491315264</v>
      </c>
      <c r="D26" s="7" t="s">
        <v>184</v>
      </c>
      <c r="E26" s="7"/>
      <c r="F26" s="7" t="s">
        <v>57</v>
      </c>
    </row>
    <row r="27" customFormat="false" ht="15" hidden="false" customHeight="true" outlineLevel="0" collapsed="false">
      <c r="A27" s="7" t="s">
        <v>198</v>
      </c>
      <c r="B27" s="7" t="s">
        <v>199</v>
      </c>
      <c r="C27" s="32" t="n">
        <f aca="false">Cálculos!G56</f>
        <v>254.67936414408</v>
      </c>
      <c r="D27" s="7" t="s">
        <v>191</v>
      </c>
      <c r="E27" s="7"/>
      <c r="F27" s="7" t="s">
        <v>57</v>
      </c>
    </row>
    <row r="28" customFormat="false" ht="15" hidden="false" customHeight="true" outlineLevel="0" collapsed="false">
      <c r="A28" s="7" t="s">
        <v>200</v>
      </c>
      <c r="B28" s="7" t="s">
        <v>261</v>
      </c>
      <c r="C28" s="20" t="n">
        <f aca="false">Cálculos!G57</f>
        <v>7751.66197183099</v>
      </c>
      <c r="D28" s="7" t="s">
        <v>11</v>
      </c>
      <c r="E28" s="7" t="s">
        <v>262</v>
      </c>
      <c r="F28" s="7" t="s">
        <v>57</v>
      </c>
    </row>
    <row r="29" customFormat="false" ht="15" hidden="false" customHeight="true" outlineLevel="0" collapsed="false">
      <c r="A29" s="7" t="s">
        <v>203</v>
      </c>
      <c r="B29" s="7" t="s">
        <v>263</v>
      </c>
      <c r="C29" s="33" t="n">
        <f aca="false">Cálculos!G58</f>
        <v>0.44375</v>
      </c>
      <c r="D29" s="7" t="s">
        <v>39</v>
      </c>
      <c r="E29" s="7" t="s">
        <v>264</v>
      </c>
      <c r="F29" s="7" t="s">
        <v>57</v>
      </c>
    </row>
    <row r="30" customFormat="false" ht="15" hidden="false" customHeight="true" outlineLevel="0" collapsed="false">
      <c r="A30" s="7" t="s">
        <v>206</v>
      </c>
      <c r="B30" s="7" t="s">
        <v>207</v>
      </c>
      <c r="C30" s="33" t="n">
        <f aca="false">Cálculos!G59</f>
        <v>0.793858609643657</v>
      </c>
      <c r="D30" s="7" t="s">
        <v>39</v>
      </c>
      <c r="E30" s="7" t="s">
        <v>265</v>
      </c>
      <c r="F30" s="7" t="s">
        <v>57</v>
      </c>
    </row>
    <row r="31" customFormat="false" ht="15" hidden="false" customHeight="true" outlineLevel="0" collapsed="false">
      <c r="A31" s="7" t="s">
        <v>32</v>
      </c>
      <c r="B31" s="7" t="s">
        <v>125</v>
      </c>
      <c r="C31" s="33" t="n">
        <f aca="false">Cálculos!G13</f>
        <v>0.1466</v>
      </c>
      <c r="D31" s="7" t="s">
        <v>39</v>
      </c>
      <c r="E31" s="7" t="s">
        <v>266</v>
      </c>
      <c r="F31" s="7" t="s">
        <v>57</v>
      </c>
    </row>
    <row r="33" customFormat="false" ht="15" hidden="false" customHeight="true" outlineLevel="0" collapsed="false">
      <c r="A33" s="4" t="s">
        <v>267</v>
      </c>
      <c r="B33" s="5"/>
      <c r="C33" s="5"/>
      <c r="D33" s="5"/>
      <c r="E33" s="5"/>
      <c r="F33" s="5"/>
    </row>
    <row r="34" customFormat="false" ht="15" hidden="false" customHeight="true" outlineLevel="0" collapsed="false">
      <c r="A34" s="6" t="s">
        <v>3</v>
      </c>
      <c r="B34" s="6" t="s">
        <v>234</v>
      </c>
      <c r="C34" s="6" t="s">
        <v>6</v>
      </c>
      <c r="D34" s="6" t="s">
        <v>5</v>
      </c>
      <c r="E34" s="6" t="s">
        <v>235</v>
      </c>
      <c r="F34" s="6" t="s">
        <v>7</v>
      </c>
    </row>
    <row r="35" customFormat="false" ht="15" hidden="false" customHeight="true" outlineLevel="0" collapsed="false">
      <c r="A35" s="7" t="s">
        <v>63</v>
      </c>
      <c r="B35" s="7" t="s">
        <v>268</v>
      </c>
      <c r="C35" s="25" t="n">
        <f aca="false">Cálculos!G16</f>
        <v>0.111428571428571</v>
      </c>
      <c r="D35" s="7" t="s">
        <v>129</v>
      </c>
      <c r="E35" s="7" t="s">
        <v>269</v>
      </c>
      <c r="F35" s="7" t="s">
        <v>57</v>
      </c>
    </row>
    <row r="36" customFormat="false" ht="15" hidden="false" customHeight="true" outlineLevel="0" collapsed="false">
      <c r="A36" s="7" t="s">
        <v>32</v>
      </c>
      <c r="B36" s="7" t="s">
        <v>270</v>
      </c>
      <c r="C36" s="20" t="n">
        <f aca="false">Cálculos!G17</f>
        <v>27990</v>
      </c>
      <c r="D36" s="7" t="s">
        <v>11</v>
      </c>
      <c r="E36" s="7" t="s">
        <v>271</v>
      </c>
      <c r="F36" s="7" t="s">
        <v>57</v>
      </c>
    </row>
    <row r="37" customFormat="false" ht="15" hidden="false" customHeight="true" outlineLevel="0" collapsed="false">
      <c r="A37" s="7" t="s">
        <v>32</v>
      </c>
      <c r="B37" s="7" t="s">
        <v>272</v>
      </c>
      <c r="C37" s="26" t="n">
        <f aca="false">Cálculos!G12/Cálculos!G14</f>
        <v>0.1092</v>
      </c>
      <c r="D37" s="7" t="s">
        <v>273</v>
      </c>
      <c r="E37" s="7" t="s">
        <v>274</v>
      </c>
      <c r="F37" s="7" t="s">
        <v>57</v>
      </c>
    </row>
    <row r="38" customFormat="false" ht="15" hidden="false" customHeight="true" outlineLevel="0" collapsed="false">
      <c r="A38" s="7" t="s">
        <v>32</v>
      </c>
      <c r="B38" s="7" t="s">
        <v>275</v>
      </c>
      <c r="C38" s="23" t="n">
        <f aca="false">Cálculos!G12/(Entradas!$D$16*Entradas!$D$7)</f>
        <v>171.99</v>
      </c>
      <c r="D38" s="7" t="s">
        <v>276</v>
      </c>
      <c r="E38" s="7" t="s">
        <v>277</v>
      </c>
      <c r="F38" s="7" t="s">
        <v>57</v>
      </c>
    </row>
    <row r="39" customFormat="false" ht="36" hidden="false" customHeight="true" outlineLevel="0" collapsed="false">
      <c r="A39" s="7" t="s">
        <v>32</v>
      </c>
      <c r="B39" s="7" t="s">
        <v>278</v>
      </c>
      <c r="C39" s="29" t="s">
        <v>279</v>
      </c>
      <c r="D39" s="7" t="s">
        <v>32</v>
      </c>
      <c r="E39" s="7" t="s">
        <v>280</v>
      </c>
      <c r="F39" s="7" t="s">
        <v>281</v>
      </c>
    </row>
    <row r="41" customFormat="false" ht="15" hidden="false" customHeight="true" outlineLevel="0" collapsed="false">
      <c r="A41" s="4" t="s">
        <v>282</v>
      </c>
      <c r="B41" s="5"/>
      <c r="C41" s="5"/>
      <c r="D41" s="5"/>
      <c r="E41" s="5"/>
      <c r="F41" s="5"/>
    </row>
    <row r="42" customFormat="false" ht="15" hidden="false" customHeight="true" outlineLevel="0" collapsed="false">
      <c r="A42" s="6" t="s">
        <v>3</v>
      </c>
      <c r="B42" s="6" t="s">
        <v>234</v>
      </c>
      <c r="C42" s="6" t="s">
        <v>6</v>
      </c>
      <c r="D42" s="6" t="s">
        <v>5</v>
      </c>
      <c r="E42" s="6" t="s">
        <v>235</v>
      </c>
      <c r="F42" s="6" t="s">
        <v>7</v>
      </c>
    </row>
    <row r="43" customFormat="false" ht="15" hidden="false" customHeight="true" outlineLevel="0" collapsed="false">
      <c r="A43" s="7" t="s">
        <v>218</v>
      </c>
      <c r="B43" s="7" t="s">
        <v>283</v>
      </c>
      <c r="C43" s="31" t="n">
        <f aca="false">Cálculos!D71</f>
        <v>4.175</v>
      </c>
      <c r="D43" s="7" t="s">
        <v>95</v>
      </c>
      <c r="E43" s="7" t="s">
        <v>284</v>
      </c>
      <c r="F43" s="7" t="s">
        <v>57</v>
      </c>
    </row>
    <row r="44" customFormat="false" ht="15" hidden="false" customHeight="true" outlineLevel="0" collapsed="false">
      <c r="A44" s="7" t="s">
        <v>218</v>
      </c>
      <c r="B44" s="7" t="s">
        <v>285</v>
      </c>
      <c r="C44" s="31" t="n">
        <f aca="false">Cálculos!E71</f>
        <v>3.78958333333333</v>
      </c>
      <c r="D44" s="7" t="s">
        <v>95</v>
      </c>
      <c r="E44" s="7" t="s">
        <v>284</v>
      </c>
      <c r="F44" s="7" t="s">
        <v>57</v>
      </c>
    </row>
    <row r="45" customFormat="false" ht="15" hidden="false" customHeight="true" outlineLevel="0" collapsed="false">
      <c r="A45" s="7" t="s">
        <v>218</v>
      </c>
      <c r="B45" s="7" t="s">
        <v>286</v>
      </c>
      <c r="C45" s="31" t="n">
        <f aca="false">Cálculos!F71</f>
        <v>157.816666666667</v>
      </c>
      <c r="D45" s="7" t="s">
        <v>95</v>
      </c>
      <c r="E45" s="7" t="s">
        <v>284</v>
      </c>
      <c r="F45" s="7" t="s">
        <v>57</v>
      </c>
    </row>
    <row r="46" customFormat="false" ht="15" hidden="false" customHeight="true" outlineLevel="0" collapsed="false">
      <c r="A46" s="7" t="s">
        <v>32</v>
      </c>
      <c r="B46" s="7" t="s">
        <v>287</v>
      </c>
      <c r="C46" s="33" t="n">
        <f aca="false">Cálculos!D73</f>
        <v>0.0289421157684631</v>
      </c>
      <c r="D46" s="7" t="s">
        <v>39</v>
      </c>
      <c r="E46" s="7" t="s">
        <v>288</v>
      </c>
      <c r="F46" s="7" t="s">
        <v>57</v>
      </c>
    </row>
    <row r="47" customFormat="false" ht="15" hidden="false" customHeight="true" outlineLevel="0" collapsed="false">
      <c r="A47" s="7" t="s">
        <v>32</v>
      </c>
      <c r="B47" s="7" t="s">
        <v>289</v>
      </c>
      <c r="C47" s="33" t="n">
        <f aca="false">Cálculos!E73</f>
        <v>0.0318856514568444</v>
      </c>
      <c r="D47" s="7" t="s">
        <v>39</v>
      </c>
      <c r="E47" s="7" t="s">
        <v>288</v>
      </c>
      <c r="F47" s="7" t="s">
        <v>57</v>
      </c>
    </row>
    <row r="48" customFormat="false" ht="15" hidden="false" customHeight="true" outlineLevel="0" collapsed="false">
      <c r="A48" s="7" t="s">
        <v>32</v>
      </c>
      <c r="B48" s="7" t="s">
        <v>290</v>
      </c>
      <c r="C48" s="33" t="n">
        <f aca="false">Cálculos!F73</f>
        <v>0.000897666068222621</v>
      </c>
      <c r="D48" s="7" t="s">
        <v>39</v>
      </c>
      <c r="E48" s="7" t="s">
        <v>288</v>
      </c>
      <c r="F48" s="7" t="s">
        <v>57</v>
      </c>
    </row>
    <row r="49" customFormat="false" ht="15" hidden="false" customHeight="true" outlineLevel="0" collapsed="false">
      <c r="A49" s="7" t="s">
        <v>225</v>
      </c>
      <c r="B49" s="7" t="s">
        <v>291</v>
      </c>
      <c r="C49" s="20" t="n">
        <f aca="false">Cálculos!G74</f>
        <v>113400</v>
      </c>
      <c r="D49" s="7" t="s">
        <v>227</v>
      </c>
      <c r="E49" s="7" t="s">
        <v>292</v>
      </c>
      <c r="F49" s="7" t="s">
        <v>57</v>
      </c>
    </row>
    <row r="51" customFormat="false" ht="15" hidden="false" customHeight="true" outlineLevel="0" collapsed="false">
      <c r="A51" s="4" t="s">
        <v>293</v>
      </c>
      <c r="B51" s="5"/>
      <c r="C51" s="5"/>
      <c r="D51" s="5"/>
      <c r="E51" s="5"/>
      <c r="F51" s="5"/>
    </row>
    <row r="52" customFormat="false" ht="15" hidden="false" customHeight="true" outlineLevel="0" collapsed="false">
      <c r="A52" s="6" t="s">
        <v>294</v>
      </c>
      <c r="B52" s="6" t="s">
        <v>295</v>
      </c>
      <c r="C52" s="6" t="s">
        <v>296</v>
      </c>
      <c r="D52" s="6"/>
      <c r="E52" s="6" t="s">
        <v>297</v>
      </c>
      <c r="F52" s="6" t="s">
        <v>298</v>
      </c>
    </row>
    <row r="53" customFormat="false" ht="15" hidden="false" customHeight="true" outlineLevel="0" collapsed="false">
      <c r="A53" s="36" t="n">
        <v>0</v>
      </c>
      <c r="B53" s="7" t="s">
        <v>299</v>
      </c>
      <c r="C53" s="7" t="s">
        <v>300</v>
      </c>
      <c r="D53" s="9"/>
      <c r="E53" s="7" t="s">
        <v>301</v>
      </c>
      <c r="F53" s="7" t="s">
        <v>302</v>
      </c>
    </row>
    <row r="54" customFormat="false" ht="36" hidden="false" customHeight="true" outlineLevel="0" collapsed="false">
      <c r="A54" s="36" t="n">
        <v>0.65</v>
      </c>
      <c r="B54" s="7" t="s">
        <v>303</v>
      </c>
      <c r="C54" s="7" t="s">
        <v>304</v>
      </c>
      <c r="D54" s="9"/>
      <c r="E54" s="7" t="s">
        <v>301</v>
      </c>
      <c r="F54" s="7" t="s">
        <v>305</v>
      </c>
    </row>
    <row r="55" customFormat="false" ht="24.75" hidden="false" customHeight="true" outlineLevel="0" collapsed="false">
      <c r="A55" s="36" t="n">
        <v>0.75</v>
      </c>
      <c r="B55" s="7" t="s">
        <v>306</v>
      </c>
      <c r="C55" s="7" t="s">
        <v>307</v>
      </c>
      <c r="D55" s="9"/>
      <c r="E55" s="7" t="s">
        <v>308</v>
      </c>
      <c r="F55" s="7" t="s">
        <v>309</v>
      </c>
    </row>
    <row r="56" customFormat="false" ht="15" hidden="false" customHeight="true" outlineLevel="0" collapsed="false">
      <c r="A56" s="36" t="n">
        <v>0.85</v>
      </c>
      <c r="B56" s="7" t="s">
        <v>310</v>
      </c>
      <c r="C56" s="7" t="s">
        <v>307</v>
      </c>
      <c r="D56" s="9"/>
      <c r="E56" s="7" t="s">
        <v>311</v>
      </c>
      <c r="F56" s="7" t="s">
        <v>306</v>
      </c>
    </row>
    <row r="57" customFormat="false" ht="15" hidden="false" customHeight="true" outlineLevel="0" collapsed="false">
      <c r="A57" s="36" t="n">
        <v>0.95</v>
      </c>
      <c r="B57" s="7" t="s">
        <v>312</v>
      </c>
      <c r="C57" s="7" t="s">
        <v>312</v>
      </c>
      <c r="D57" s="9"/>
      <c r="E57" s="7" t="s">
        <v>313</v>
      </c>
      <c r="F57" s="7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70"/>
  </cols>
  <sheetData>
    <row r="1" customFormat="false" ht="15.75" hidden="false" customHeight="true" outlineLevel="0" collapsed="false">
      <c r="A1" s="2" t="s">
        <v>314</v>
      </c>
    </row>
    <row r="2" customFormat="false" ht="15" hidden="false" customHeight="true" outlineLevel="0" collapsed="false">
      <c r="A2" s="3" t="s">
        <v>315</v>
      </c>
    </row>
    <row r="4" customFormat="false" ht="15" hidden="false" customHeight="true" outlineLevel="0" collapsed="false">
      <c r="A4" s="6" t="s">
        <v>234</v>
      </c>
      <c r="B4" s="6" t="s">
        <v>316</v>
      </c>
      <c r="C4" s="6" t="s">
        <v>317</v>
      </c>
      <c r="D4" s="6" t="s">
        <v>318</v>
      </c>
    </row>
    <row r="5" customFormat="false" ht="15" hidden="false" customHeight="true" outlineLevel="0" collapsed="false">
      <c r="A5" s="37" t="s">
        <v>319</v>
      </c>
      <c r="B5" s="38" t="n">
        <f aca="false">Cálculos!G10</f>
        <v>7</v>
      </c>
      <c r="C5" s="37" t="s">
        <v>320</v>
      </c>
      <c r="D5" s="39" t="s">
        <v>321</v>
      </c>
    </row>
    <row r="6" customFormat="false" ht="15" hidden="false" customHeight="true" outlineLevel="0" collapsed="false">
      <c r="A6" s="37" t="s">
        <v>322</v>
      </c>
      <c r="B6" s="38" t="n">
        <f aca="false">Entradas!D10</f>
        <v>3</v>
      </c>
      <c r="C6" s="37" t="s">
        <v>323</v>
      </c>
      <c r="D6" s="39" t="s">
        <v>324</v>
      </c>
    </row>
    <row r="7" customFormat="false" ht="15" hidden="false" customHeight="true" outlineLevel="0" collapsed="false">
      <c r="A7" s="37" t="s">
        <v>325</v>
      </c>
      <c r="B7" s="40" t="n">
        <f aca="false">Cálculos!G12</f>
        <v>3439.8</v>
      </c>
      <c r="C7" s="37" t="s">
        <v>326</v>
      </c>
      <c r="D7" s="39" t="s">
        <v>327</v>
      </c>
    </row>
    <row r="8" customFormat="false" ht="15" hidden="false" customHeight="true" outlineLevel="0" collapsed="false">
      <c r="A8" s="37" t="s">
        <v>328</v>
      </c>
      <c r="B8" s="40" t="n">
        <f aca="false">Cálculos!G14</f>
        <v>31500</v>
      </c>
      <c r="C8" s="37" t="s">
        <v>329</v>
      </c>
      <c r="D8" s="39" t="s">
        <v>330</v>
      </c>
    </row>
    <row r="9" customFormat="false" ht="15" hidden="false" customHeight="true" outlineLevel="0" collapsed="false">
      <c r="A9" s="37" t="s">
        <v>331</v>
      </c>
      <c r="B9" s="41" t="n">
        <f aca="false">Cálculos!G16</f>
        <v>0.111428571428571</v>
      </c>
      <c r="C9" s="37" t="s">
        <v>332</v>
      </c>
      <c r="D9" s="39" t="s">
        <v>333</v>
      </c>
    </row>
    <row r="10" customFormat="false" ht="15" hidden="false" customHeight="true" outlineLevel="0" collapsed="false">
      <c r="A10" s="37" t="s">
        <v>334</v>
      </c>
      <c r="B10" s="40" t="n">
        <f aca="false">Cálculos!G56</f>
        <v>254.67936414408</v>
      </c>
      <c r="C10" s="37" t="s">
        <v>335</v>
      </c>
      <c r="D10" s="39" t="s">
        <v>336</v>
      </c>
    </row>
    <row r="11" customFormat="false" ht="21.75" hidden="false" customHeight="true" outlineLevel="0" collapsed="false">
      <c r="A11" s="37" t="s">
        <v>247</v>
      </c>
      <c r="B11" s="42" t="n">
        <f aca="false">Cálculos!G31</f>
        <v>0.671345230769231</v>
      </c>
      <c r="C11" s="37" t="s">
        <v>337</v>
      </c>
      <c r="D11" s="39" t="s">
        <v>338</v>
      </c>
    </row>
    <row r="12" customFormat="false" ht="21.75" hidden="false" customHeight="true" outlineLevel="0" collapsed="false">
      <c r="A12" s="37" t="s">
        <v>339</v>
      </c>
      <c r="B12" s="42" t="n">
        <f aca="false">Cálculos!G59</f>
        <v>0.793858609643657</v>
      </c>
      <c r="C12" s="37" t="s">
        <v>340</v>
      </c>
      <c r="D12" s="39" t="s">
        <v>341</v>
      </c>
    </row>
    <row r="13" customFormat="false" ht="15" hidden="false" customHeight="true" outlineLevel="0" collapsed="false">
      <c r="A13" s="37" t="s">
        <v>342</v>
      </c>
      <c r="B13" s="40" t="n">
        <f aca="false">Cálculos!G74</f>
        <v>113400</v>
      </c>
      <c r="C13" s="37" t="s">
        <v>343</v>
      </c>
      <c r="D13" s="39" t="s">
        <v>344</v>
      </c>
    </row>
    <row r="14" customFormat="false" ht="15" hidden="false" customHeight="true" outlineLevel="0" collapsed="false">
      <c r="A14" s="37" t="s">
        <v>345</v>
      </c>
      <c r="B14" s="40" t="n">
        <f aca="false">Cálculos!G75</f>
        <v>12083.4</v>
      </c>
      <c r="C14" s="37" t="s">
        <v>346</v>
      </c>
      <c r="D14" s="39" t="s">
        <v>347</v>
      </c>
    </row>
    <row r="15" customFormat="false" ht="15" hidden="false" customHeight="true" outlineLevel="0" collapsed="false">
      <c r="A15" s="37" t="s">
        <v>348</v>
      </c>
      <c r="B15" s="43" t="n">
        <f aca="false">Cálculos!D71</f>
        <v>4.175</v>
      </c>
      <c r="C15" s="37" t="s">
        <v>349</v>
      </c>
      <c r="D15" s="39" t="s">
        <v>350</v>
      </c>
    </row>
    <row r="16" customFormat="false" ht="15" hidden="false" customHeight="true" outlineLevel="0" collapsed="false">
      <c r="A16" s="37" t="s">
        <v>351</v>
      </c>
      <c r="B16" s="43" t="n">
        <f aca="false">Cálculos!E71</f>
        <v>3.78958333333333</v>
      </c>
      <c r="C16" s="37" t="s">
        <v>352</v>
      </c>
      <c r="D16" s="39"/>
    </row>
    <row r="17" customFormat="false" ht="15" hidden="false" customHeight="true" outlineLevel="0" collapsed="false">
      <c r="A17" s="37" t="s">
        <v>353</v>
      </c>
      <c r="B17" s="43" t="n">
        <f aca="false">Cálculos!F71</f>
        <v>157.816666666667</v>
      </c>
      <c r="C17" s="37" t="s">
        <v>354</v>
      </c>
      <c r="D17" s="39" t="s">
        <v>355</v>
      </c>
    </row>
    <row r="18" customFormat="false" ht="15" hidden="false" customHeight="true" outlineLevel="0" collapsed="false">
      <c r="A18" s="37" t="s">
        <v>356</v>
      </c>
      <c r="B18" s="38" t="n">
        <f aca="false">Entradas!D16</f>
        <v>10</v>
      </c>
      <c r="C18" s="37" t="s">
        <v>357</v>
      </c>
      <c r="D18" s="39" t="s">
        <v>358</v>
      </c>
    </row>
    <row r="20" customFormat="false" ht="15" hidden="false" customHeight="true" outlineLevel="0" collapsed="false">
      <c r="A20" s="44" t="s">
        <v>359</v>
      </c>
    </row>
    <row r="21" customFormat="false" ht="75" hidden="false" customHeight="true" outlineLevel="0" collapsed="false">
      <c r="A21" s="45" t="s">
        <v>360</v>
      </c>
      <c r="B21" s="45"/>
      <c r="C21" s="45"/>
      <c r="D21" s="45"/>
    </row>
  </sheetData>
  <mergeCells count="1"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30"/>
    <col collapsed="false" customWidth="true" hidden="false" outlineLevel="0" max="4" min="4" style="1" width="70"/>
  </cols>
  <sheetData>
    <row r="1" customFormat="false" ht="15.75" hidden="false" customHeight="true" outlineLevel="0" collapsed="false">
      <c r="A1" s="2" t="s">
        <v>361</v>
      </c>
    </row>
    <row r="2" customFormat="false" ht="15" hidden="false" customHeight="true" outlineLevel="0" collapsed="false">
      <c r="A2" s="3" t="s">
        <v>362</v>
      </c>
    </row>
    <row r="4" customFormat="false" ht="15" hidden="false" customHeight="true" outlineLevel="0" collapsed="false">
      <c r="A4" s="6" t="s">
        <v>4</v>
      </c>
      <c r="B4" s="6" t="s">
        <v>363</v>
      </c>
      <c r="C4" s="6" t="s">
        <v>364</v>
      </c>
      <c r="D4" s="6" t="s">
        <v>365</v>
      </c>
    </row>
    <row r="5" customFormat="false" ht="23.25" hidden="false" customHeight="true" outlineLevel="0" collapsed="false">
      <c r="A5" s="37" t="s">
        <v>322</v>
      </c>
      <c r="B5" s="37" t="s">
        <v>366</v>
      </c>
      <c r="C5" s="37" t="s">
        <v>323</v>
      </c>
      <c r="D5" s="39" t="s">
        <v>367</v>
      </c>
    </row>
    <row r="6" customFormat="false" ht="15" hidden="false" customHeight="true" outlineLevel="0" collapsed="false">
      <c r="A6" s="37" t="s">
        <v>319</v>
      </c>
      <c r="B6" s="37" t="s">
        <v>368</v>
      </c>
      <c r="C6" s="37" t="s">
        <v>320</v>
      </c>
      <c r="D6" s="39" t="s">
        <v>369</v>
      </c>
    </row>
    <row r="7" customFormat="false" ht="15" hidden="false" customHeight="true" outlineLevel="0" collapsed="false">
      <c r="A7" s="37" t="s">
        <v>56</v>
      </c>
      <c r="B7" s="37" t="s">
        <v>370</v>
      </c>
      <c r="C7" s="37" t="s">
        <v>371</v>
      </c>
      <c r="D7" s="39" t="s">
        <v>372</v>
      </c>
    </row>
    <row r="8" customFormat="false" ht="15" hidden="false" customHeight="true" outlineLevel="0" collapsed="false">
      <c r="A8" s="37" t="s">
        <v>373</v>
      </c>
      <c r="B8" s="37" t="s">
        <v>374</v>
      </c>
      <c r="C8" s="37" t="s">
        <v>375</v>
      </c>
      <c r="D8" s="39" t="s">
        <v>376</v>
      </c>
    </row>
    <row r="9" customFormat="false" ht="15" hidden="false" customHeight="true" outlineLevel="0" collapsed="false">
      <c r="A9" s="37" t="s">
        <v>377</v>
      </c>
      <c r="B9" s="37" t="s">
        <v>378</v>
      </c>
      <c r="C9" s="37" t="s">
        <v>379</v>
      </c>
      <c r="D9" s="39" t="s">
        <v>380</v>
      </c>
    </row>
    <row r="10" customFormat="false" ht="15" hidden="false" customHeight="true" outlineLevel="0" collapsed="false">
      <c r="A10" s="37" t="s">
        <v>74</v>
      </c>
      <c r="B10" s="37" t="s">
        <v>381</v>
      </c>
      <c r="C10" s="37" t="s">
        <v>382</v>
      </c>
      <c r="D10" s="39" t="s">
        <v>383</v>
      </c>
    </row>
    <row r="11" customFormat="false" ht="15" hidden="false" customHeight="true" outlineLevel="0" collapsed="false">
      <c r="A11" s="37" t="s">
        <v>384</v>
      </c>
      <c r="B11" s="37" t="s">
        <v>385</v>
      </c>
      <c r="C11" s="37" t="s">
        <v>386</v>
      </c>
      <c r="D11" s="39" t="s">
        <v>387</v>
      </c>
    </row>
    <row r="12" customFormat="false" ht="15" hidden="false" customHeight="true" outlineLevel="0" collapsed="false">
      <c r="A12" s="37" t="s">
        <v>356</v>
      </c>
      <c r="B12" s="37" t="s">
        <v>388</v>
      </c>
      <c r="C12" s="37" t="s">
        <v>357</v>
      </c>
      <c r="D12" s="39" t="s">
        <v>358</v>
      </c>
    </row>
    <row r="13" customFormat="false" ht="15" hidden="false" customHeight="true" outlineLevel="0" collapsed="false">
      <c r="A13" s="37" t="s">
        <v>389</v>
      </c>
      <c r="B13" s="37" t="s">
        <v>390</v>
      </c>
      <c r="C13" s="37" t="s">
        <v>391</v>
      </c>
      <c r="D13" s="39" t="s">
        <v>392</v>
      </c>
    </row>
    <row r="14" customFormat="false" ht="15" hidden="false" customHeight="true" outlineLevel="0" collapsed="false">
      <c r="A14" s="37" t="s">
        <v>212</v>
      </c>
      <c r="B14" s="37" t="s">
        <v>393</v>
      </c>
      <c r="C14" s="37" t="s">
        <v>394</v>
      </c>
      <c r="D14" s="39" t="s">
        <v>395</v>
      </c>
    </row>
    <row r="15" customFormat="false" ht="15" hidden="false" customHeight="true" outlineLevel="0" collapsed="false">
      <c r="A15" s="37" t="s">
        <v>217</v>
      </c>
      <c r="B15" s="37" t="s">
        <v>396</v>
      </c>
      <c r="C15" s="37" t="s">
        <v>397</v>
      </c>
      <c r="D15" s="39" t="s">
        <v>398</v>
      </c>
    </row>
    <row r="16" customFormat="false" ht="15" hidden="false" customHeight="true" outlineLevel="0" collapsed="false">
      <c r="A16" s="37" t="s">
        <v>399</v>
      </c>
      <c r="B16" s="37" t="s">
        <v>400</v>
      </c>
      <c r="C16" s="37" t="s">
        <v>401</v>
      </c>
      <c r="D16" s="39" t="s">
        <v>402</v>
      </c>
    </row>
    <row r="17" customFormat="false" ht="23.25" hidden="false" customHeight="true" outlineLevel="0" collapsed="false">
      <c r="A17" s="37" t="s">
        <v>403</v>
      </c>
      <c r="B17" s="37" t="s">
        <v>404</v>
      </c>
      <c r="C17" s="37" t="s">
        <v>405</v>
      </c>
      <c r="D17" s="39" t="s">
        <v>406</v>
      </c>
    </row>
    <row r="18" customFormat="false" ht="23.25" hidden="false" customHeight="true" outlineLevel="0" collapsed="false">
      <c r="A18" s="37" t="s">
        <v>407</v>
      </c>
      <c r="B18" s="37" t="s">
        <v>408</v>
      </c>
      <c r="C18" s="37" t="s">
        <v>409</v>
      </c>
      <c r="D18" s="39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2026-10-11T23:46:02Z</dcterms:created>
  <dc:creator>openpyxl</dc:creator>
  <dc:description/>
  <dc:language>en-US</dc:language>
  <cp:lastModifiedBy/>
  <dcterms:modified xsi:type="dcterms:W3CDTF">2026-10-13T06:35:33Z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