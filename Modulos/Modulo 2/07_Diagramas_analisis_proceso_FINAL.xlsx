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air/Downloads/"/>
    </mc:Choice>
  </mc:AlternateContent>
  <xr:revisionPtr revIDLastSave="0" documentId="8_{28BC7274-26D2-2E41-971D-A943D1B7E0D0}" xr6:coauthVersionLast="47" xr6:coauthVersionMax="47" xr10:uidLastSave="{00000000-0000-0000-0000-000000000000}"/>
  <bookViews>
    <workbookView xWindow="0" yWindow="0" windowWidth="28800" windowHeight="18000" xr2:uid="{00000000-000D-0000-FFFF-FFFF00000000}"/>
  </bookViews>
  <sheets>
    <sheet name="Campesino" sheetId="2" r:id="rId1"/>
    <sheet name="Mozzarella" sheetId="3" r:id="rId2"/>
    <sheet name="Sopó" sheetId="4"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35" i="4" l="1"/>
  <c r="I35" i="4"/>
  <c r="H35" i="4"/>
  <c r="G35" i="4"/>
  <c r="F35" i="4"/>
  <c r="E35" i="4"/>
  <c r="D35" i="4"/>
  <c r="J32" i="3"/>
  <c r="I32" i="3"/>
  <c r="H32" i="3"/>
  <c r="G32" i="3"/>
  <c r="F32" i="3"/>
  <c r="E32" i="3"/>
  <c r="D32" i="3"/>
  <c r="J32" i="2"/>
  <c r="I32" i="2"/>
  <c r="H32" i="2"/>
  <c r="G32" i="2"/>
  <c r="F32" i="2"/>
  <c r="E32" i="2"/>
  <c r="D32" i="2"/>
</calcChain>
</file>

<file path=xl/sharedStrings.xml><?xml version="1.0" encoding="utf-8"?>
<sst xmlns="http://schemas.openxmlformats.org/spreadsheetml/2006/main" count="306" uniqueCount="125">
  <si>
    <t>Moldeado</t>
  </si>
  <si>
    <t>Análisis de proceso Queso Campesino cuña 250 g – lote de 4.500 kg de leche</t>
  </si>
  <si>
    <t>No. Oper.</t>
  </si>
  <si>
    <t>Elemento</t>
  </si>
  <si>
    <t>Cantidad (kg)</t>
  </si>
  <si>
    <t>Distancia (m)</t>
  </si>
  <si>
    <t>Tiempo (min)</t>
  </si>
  <si>
    <t>○</t>
  </si>
  <si>
    <t>→</t>
  </si>
  <si>
    <t>D</t>
  </si>
  <si>
    <t>□</t>
  </si>
  <si>
    <t>▽</t>
  </si>
  <si>
    <t>Observaciones (equipos y máquinas)</t>
  </si>
  <si>
    <t>Recepción de leche en cisterna</t>
  </si>
  <si>
    <t>●</t>
  </si>
  <si>
    <t>Tanque de recepción (Q-EQ-001), bomba y medidor de volumen. Equipo compartido de planta.</t>
  </si>
  <si>
    <t>Control de recepción (temperatura, acidez, antibióticos)</t>
  </si>
  <si>
    <t>Laboratorio: se mide temperatura, acidez y antibióticos. Si no cumple, se rechaza la leche.</t>
  </si>
  <si>
    <t>Almacenamiento refrigerado de leche ≤ 4 °C</t>
  </si>
  <si>
    <t>Tanque refrigerado de leche (Q-EQ-002). ≈ 11 h 50 min de espera a 4 °C o menos; con los 10 min de preparación suman las 12 h del VSM.</t>
  </si>
  <si>
    <t>Transporte de leche a preparación (tubería)</t>
  </si>
  <si>
    <t>Bomba sanitaria y tubería de acero inoxidable.</t>
  </si>
  <si>
    <t>Preparación y estandarización de la leche</t>
  </si>
  <si>
    <t>Tanque con agitador (Q-EQ-003): estandarización de grasa y proteína. Sus 10 min se tomaron de las 12 h del silo para que la suma siga siendo 12 h (VSM).</t>
  </si>
  <si>
    <t>Tratamiento térmico 72–73 °C × 15–20 s (HTST)</t>
  </si>
  <si>
    <t>Pasteurizador de placas (Q-EQ-004): 4.500 kg a 5.000 kg/h toman 54 min.</t>
  </si>
  <si>
    <t>Transporte a la tina de elaboración</t>
  </si>
  <si>
    <t>Tubería sanitaria y válvula de alimentación.</t>
  </si>
  <si>
    <t>Inoculación con cultivo láctico</t>
  </si>
  <si>
    <t>Tina de elaboración (Q-EQ-005) y dosificador de cultivo. Incluye el reposo y el cloruro de calcio.</t>
  </si>
  <si>
    <t>Coagulación con cuajo a 33 °C</t>
  </si>
  <si>
    <t>Tina de elaboración (Q-EQ-005) con control de temperatura y pH. Del cuajo al vaciado de la tina pasan 90 min.</t>
  </si>
  <si>
    <t>Inspección de firmeza y pH de la cuajada</t>
  </si>
  <si>
    <t>Medidor de pH y prueba de corte manual.</t>
  </si>
  <si>
    <t>Corte de la cuajada</t>
  </si>
  <si>
    <t>Liras de corte (Q-EQ-006).</t>
  </si>
  <si>
    <t>Agitación y cocción de la cuajada a 39–40 °C</t>
  </si>
  <si>
    <t>Tina de tratamiento (Q-EQ-007) con agitador. Cocción de 10–15 min a 39–40 °C.</t>
  </si>
  <si>
    <t>Desuerado</t>
  </si>
  <si>
    <t>Sistema de desuerado (Q-EQ-008). Salen ≈ 3.870 kg de suero por lote, que se puede aprovechar.</t>
  </si>
  <si>
    <t>Reposo de la cuajada antes del moldeo</t>
  </si>
  <si>
    <t>La cuajada espera en la tina antes del moldeo (10 min en total, con el transporte).</t>
  </si>
  <si>
    <t>Transporte de la cuajada a mesa de moldeo</t>
  </si>
  <si>
    <t>Carro de acero inoxidable, manual.</t>
  </si>
  <si>
    <t>Salado en masa sobre la cuajada desuerada</t>
  </si>
  <si>
    <t>Sistema de salado (Q-EQ-010): 1,5–1,8 % de sal, es decir, 8,1–9,7 kg por lote.</t>
  </si>
  <si>
    <t>Espera antes del moldeo y prensado</t>
  </si>
  <si>
    <t>VSM y Línea de quesos (Q-TMP-024): 15 min de espera antes de la prensa. Se agregó para cuadrar con el VSM.</t>
  </si>
  <si>
    <t>Moldes y mesa de moldeo (Q-EQ-011), manual. Moldeado y prensado suman 60 min.</t>
  </si>
  <si>
    <t>Prensado ligero</t>
  </si>
  <si>
    <t>Prensa (Q-EQ-012) con sensor de presión. Moldeado y prensado suman 60 min.</t>
  </si>
  <si>
    <t>Inspección de peso y forma</t>
  </si>
  <si>
    <t>Báscula y galga de forma; se revisa por molde.</t>
  </si>
  <si>
    <t>Transporte a cámara de enfriamiento</t>
  </si>
  <si>
    <t>Carro o montacargas.</t>
  </si>
  <si>
    <t>Enfriamiento y acondicionamiento en refrigeración (≈ 12 h)</t>
  </si>
  <si>
    <t>Cámara de enfriamiento (Q-EQ-015): ≈ 12 h en refrigeración a 4 °C.</t>
  </si>
  <si>
    <t>Transporte a termoformadora</t>
  </si>
  <si>
    <t>Banda transportadora o carro.</t>
  </si>
  <si>
    <t>Envasado y etiquetado de cuñas de 250 g (termoformadora)</t>
  </si>
  <si>
    <t>Termoformadora (Q-EQ-016) con etiquetadora y codificador de lote y fecha en línea: 2.160 cuñas a 600 por hora.</t>
  </si>
  <si>
    <t>Inspección de peso, sello y etiqueta</t>
  </si>
  <si>
    <t>Báscula dinámica.</t>
  </si>
  <si>
    <t>Paletizado</t>
  </si>
  <si>
    <t>Manual en estibas.</t>
  </si>
  <si>
    <t>Transporte a cámara de producto terminado</t>
  </si>
  <si>
    <t>Montacargas y estibas.</t>
  </si>
  <si>
    <t>Almacenamiento refrigerado de producto terminado</t>
  </si>
  <si>
    <t>Cámara fría de producto terminado (Q-EQ-017), de 2 a 4 °C. Espera de 3 días hasta liberar el lote.</t>
  </si>
  <si>
    <t>TOTAL</t>
  </si>
  <si>
    <t>Cantidad de operaciones por símbolo; tiempo y distancia totales del lote</t>
  </si>
  <si>
    <t>CONCLUSIÓN – CUELLOS DE BOTELLA. En el queso campesino, la etapa más larga es el enfriamiento y acondicionamiento en frío: ocupa más de la mitad del tiempo de proceso del lote (sin contar almacenamientos) y requiere bastante espacio refrigerado, aunque no inmoviliza equipos de proceso. Después vienen el empaque y la tina de elaboración, que trabajan con poca holgura. Como el campesino es el producto de mayor volumen del día, una parada en cualquiera de estos puntos retrasa toda la línea. Estos valores son supuestos y cálculos del modelo, y deben validarse en planta.</t>
  </si>
  <si>
    <t>Análisis de proceso Queso Mozzarella bloque 250 g – lote de 4.500 kg de leche</t>
  </si>
  <si>
    <t>Coagulación con cuajo a 35 °C</t>
  </si>
  <si>
    <t>Agitación de la cuajada</t>
  </si>
  <si>
    <t>Tina de tratamiento (Q-EQ-007) con agitador.</t>
  </si>
  <si>
    <t>Sistema de desuerado (Q-EQ-008). Salen ≈ 3.920 kg de suero por lote, que se puede aprovechar.</t>
  </si>
  <si>
    <t>Espera de la cuajada antes de acidificar</t>
  </si>
  <si>
    <t>Forma parte de los 10 min de espera del VSM entre la tina y el estirado (5 de espera + 5 de transporte a la hiladora).</t>
  </si>
  <si>
    <t>Acidificación de la cuajada hasta pH ≈ 5,2</t>
  </si>
  <si>
    <t>Equipo de tratamiento de cuajada (Q-EQ-009) con medidor de pH: acidificación hasta pH ≈ 5,2. Son 20 min de los 60 min del VSM para acidificación + estirado + moldeo (antes: 90 min).</t>
  </si>
  <si>
    <t>Inspección de pH de la cuajada</t>
  </si>
  <si>
    <t>Medidor de pH.</t>
  </si>
  <si>
    <t>Transporte de la cuajada a la hiladora</t>
  </si>
  <si>
    <t>Estirado / hilado en agua a 65–70 °C</t>
  </si>
  <si>
    <t>Hiladora de pasta filata (Q-EQ-013): 25 min de hilado, con la masa a ≈ 60 °C. Parte de los 60 min del VSM para acidificación + estirado + moldeo (antes: 60 min).</t>
  </si>
  <si>
    <t>Moldes y mesa de moldeo (Q-EQ-011). 15 min de los 60 min del VSM para acidificación + estirado + moldeo (antes: 30 min).</t>
  </si>
  <si>
    <t>Enfriamiento en agua o salmuera fría (núcleo 7–13 °C)</t>
  </si>
  <si>
    <t>Enfriamiento (Q-EQ-015): ≈ 75 min hasta que el centro llegue a 7–13 °C.</t>
  </si>
  <si>
    <t>Inspección de forma, peso y temperatura</t>
  </si>
  <si>
    <t>Báscula y termómetro de pinchazo; se revisa por bloque.</t>
  </si>
  <si>
    <t>Espera antes del empaque (enfriamiento → termoformadora)</t>
  </si>
  <si>
    <t>El producto espera en frío a la termoformadora (30 min, contando el transporte).</t>
  </si>
  <si>
    <t>Envasado y etiquetado de bloques de 250 g (termoformadora)</t>
  </si>
  <si>
    <t>Termoformadora (Q-EQ-016) con etiquetadora y codificador de lote y fecha en línea: 1.980 bloques a 720 por hora.</t>
  </si>
  <si>
    <t>CONCLUSIÓN – CUELLOS DE BOTELLA. El principal cuello de botella de la mozzarella es la tina de elaboración: la ocupa desde el llenado y la pasteurización hasta el vaciado y la limpieza, y la comparten todos los lotes del día. Por eso, cualquier espera o cambio de producto se siente en toda la línea. El empaque es el segundo punto crítico, porque también trabaja con poca holgura y lo comparten las otras referencias. Estos valores son supuestos y cálculos del modelo, y deben validarse en planta.</t>
  </si>
  <si>
    <t>Análisis de proceso Queso Sopó maduro cuña 180 g – lote de 4.500 kg de leche</t>
  </si>
  <si>
    <t>Tina de elaboración (Q-EQ-005) con control de temperatura y pH. Del cuajo al vaciado de la tina pasan 120 min.</t>
  </si>
  <si>
    <t>Agitación y cocción de la cuajada a 50–56 °C</t>
  </si>
  <si>
    <t>Tina de tratamiento (Q-EQ-007) con agitador. Cocción a 50–56 °C, como en los quesos duros.</t>
  </si>
  <si>
    <t>Tratamiento de la cuajada (lavado y acondicionamiento)</t>
  </si>
  <si>
    <t>Sistema de tratamiento de cuajada (Q-EQ-009): lavado y acondicionamiento. Son 6 min de los 10 min de espera del VSM entre la tina y el moldeo (antes: 15 min).</t>
  </si>
  <si>
    <t>Transporte de la cuajada a moldes</t>
  </si>
  <si>
    <t>Carro de acero inoxidable, manual. Son 4 min de los 10 min de espera del VSM entre la tina y el moldeo (antes: 10 min).</t>
  </si>
  <si>
    <t>Moldes y mesa de moldeo (Q-EQ-011). Moldeado y prensado suman 100 min.</t>
  </si>
  <si>
    <t>Prensado</t>
  </si>
  <si>
    <t>Prensa (Q-EQ-012) con sensor de presión. Moldeado y prensado suman 100 min.</t>
  </si>
  <si>
    <t>Transporte a la salmuera</t>
  </si>
  <si>
    <t>Montacargas y carro de moldes (15 min, con la espera).</t>
  </si>
  <si>
    <t>Salado en salmuera 20 °Bé a 10–12 °C</t>
  </si>
  <si>
    <t>Tanque de salmuera (Q-EQ-010) con recirculación y enfriamiento: 20 °Bé y 10–12 °C, ≈ 36 h por horma de 4,5 kg.</t>
  </si>
  <si>
    <t>Escurrido y secado superficial</t>
  </si>
  <si>
    <t>Racks de escurrido en sala refrigerada: oreo de ≈ 12 h antes de la maduración.</t>
  </si>
  <si>
    <t>Transporte a cámara de maduración</t>
  </si>
  <si>
    <t>Montacargas y racks de maduración.</t>
  </si>
  <si>
    <t>Maduración a 9–11 °C y 80–85 % HR, ≈ 150 días (5 meses)</t>
  </si>
  <si>
    <t>Cámara de maduración (Q-EQ-014) con control de temperatura y humedad; incluye volteo y cepillado. Cabe ≈ 116 t (≈ 25.700 hormas de 4,5 kg).</t>
  </si>
  <si>
    <t>Inspección sensorial y de humedad al salir de maduración</t>
  </si>
  <si>
    <t>Laboratorio de calidad: cata y humedad de cada pieza.</t>
  </si>
  <si>
    <t>Enfriamiento y acondicionamiento (≈ 150 min)</t>
  </si>
  <si>
    <t>Sistema de enfriamiento (Q-EQ-015): ≈ 150 min a la salida de la cámara.</t>
  </si>
  <si>
    <t>Envasado y etiquetado de cuñas de 180 g (termoformadora)</t>
  </si>
  <si>
    <t>Termoformadora (Q-EQ-016) con etiquetadora y codificador de lote y fecha en línea: 2.500 cuñas a 450 por hora.</t>
  </si>
  <si>
    <t>Cámara fría de producto terminado (Q-EQ-017), de 2 a 4 °C. Espera de 5 días hasta liberar el lote.</t>
  </si>
  <si>
    <t>CONCLUSIÓN – CUELLOS DE BOTELLA. El principal límite del queso Sopó es la cámara de maduración: como el queso permanece allí cerca de cinco meses, el tamaño de la cámara define cuánto se puede producir cada día. Dentro del tiempo activo del lote, la etapa más lenta es la salmuera, que ocupa casi la mitad de ese tiempo y funciona casi sin holgura. El empaque es el siguiente punto crítico, porque es la línea con menor velocidad de las tres referencias y la comparten las demás líneas. Estos valores son supuestos y cálculos del modelo, y deben validarse en planta.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</si>
</sst>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3"/>
      <color rgb="FFFFFFFF"/>
      <name val="Calibri"/>
      <family val="2"/>
      <charset val="1"/>
    </font>
    <font>
      <b/>
      <sz val="10"/>
      <color rgb="FFFFFFFF"/>
      <name val="Calibri"/>
      <family val="2"/>
      <charset val="1"/>
    </font>
    <font>
      <b/>
      <sz val="10"/>
      <color rgb="FF4F6070"/>
      <name val="Calibri"/>
      <family val="2"/>
      <charset val="1"/>
    </font>
    <font>
      <sz val="10"/>
      <color rgb="FF1F2933"/>
      <name val="Calibri"/>
      <family val="2"/>
      <charset val="1"/>
    </font>
    <font>
      <sz val="12"/>
      <color rgb="FF06A5FA"/>
      <name val="Calibri"/>
      <family val="2"/>
      <charset val="1"/>
    </font>
    <font>
      <b/>
      <sz val="10"/>
      <color rgb="FF1F2933"/>
      <name val="Calibri"/>
      <family val="2"/>
      <charset val="1"/>
    </font>
    <font>
      <i/>
      <sz val="9"/>
      <color rgb="FF555555"/>
      <name val="Calibri"/>
      <family val="2"/>
    </font>
    <font>
      <sz val="9"/>
      <color rgb="FF6B7785"/>
      <name val="Calibri"/>
      <family val="2"/>
      <charset val="1"/>
    </font>
  </fonts>
  <fills count="8">
    <fill>
      <patternFill patternType="none"/>
    </fill>
    <fill>
      <patternFill patternType="gray125"/>
    </fill>
    <fill>
      <patternFill patternType="solid">
        <fgColor rgb="FF4F6070"/>
        <bgColor rgb="FF555555"/>
      </patternFill>
    </fill>
    <fill>
      <patternFill patternType="solid">
        <fgColor rgb="FF06A5FA"/>
        <bgColor rgb="FF33CCCC"/>
      </patternFill>
    </fill>
    <fill>
      <patternFill patternType="solid">
        <fgColor rgb="FFF3F5F7"/>
        <bgColor rgb="FFE8F4FD"/>
      </patternFill>
    </fill>
    <fill>
      <patternFill patternType="solid">
        <fgColor rgb="FFFFF2CC"/>
        <bgColor rgb="FFFEF3E2"/>
      </patternFill>
    </fill>
    <fill>
      <patternFill patternType="solid">
        <fgColor rgb="FFE8F4FD"/>
        <bgColor rgb="FFF3F5F7"/>
      </patternFill>
    </fill>
    <fill>
      <patternFill patternType="solid">
        <fgColor rgb="FFFEF3E2"/>
        <bgColor rgb="FFFFF2CC"/>
      </patternFill>
    </fill>
  </fills>
  <borders count="2">
    <border>
      <left/>
      <right/>
      <top/>
      <bottom/>
      <diagonal/>
    </border>
    <border>
      <left style="thin">
        <color rgb="FFC9D1D8"/>
      </left>
      <right style="thin">
        <color rgb="FFC9D1D8"/>
      </right>
      <top style="thin">
        <color rgb="FFC9D1D8"/>
      </top>
      <bottom style="thin">
        <color rgb="FFC9D1D8"/>
      </bottom>
      <diagonal/>
    </border>
  </borders>
  <cellStyleXfs count="1">
    <xf numFmtId="0" fontId="0" fillId="0" borderId="0"/>
  </cellStyleXfs>
  <cellXfs count="23">
    <xf numFmtId="0" fontId="0" fillId="0" borderId="0" xfId="0"/>
    <xf numFmtId="0" fontId="7" fillId="0" borderId="0" xfId="0" applyFont="1" applyAlignment="1">
      <alignment vertical="top" wrapText="1"/>
    </xf>
    <xf numFmtId="0" fontId="4" fillId="7"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3"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3"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3" fontId="4" fillId="5" borderId="1" xfId="0"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3" fontId="6" fillId="6" borderId="1" xfId="0" applyNumberFormat="1" applyFont="1" applyFill="1" applyBorder="1" applyAlignment="1">
      <alignment horizontal="center" vertical="center" wrapText="1"/>
    </xf>
    <xf numFmtId="0" fontId="4" fillId="6" borderId="1" xfId="0" applyFont="1" applyFill="1" applyBorder="1" applyAlignment="1">
      <alignment horizontal="left" vertical="center" wrapText="1"/>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E7A"/>
      <rgbColor rgb="FFBBBBBB"/>
      <rgbColor rgb="FF6B7785"/>
      <rgbColor rgb="FF9999FF"/>
      <rgbColor rgb="FF993366"/>
      <rgbColor rgb="FFFFF2CC"/>
      <rgbColor rgb="FFD9EEF1"/>
      <rgbColor rgb="FF660066"/>
      <rgbColor rgb="FFFF8080"/>
      <rgbColor rgb="FF0066CC"/>
      <rgbColor rgb="FFC9D1D8"/>
      <rgbColor rgb="FF000080"/>
      <rgbColor rgb="FFFF00FF"/>
      <rgbColor rgb="FFFFFF00"/>
      <rgbColor rgb="FF00FFFF"/>
      <rgbColor rgb="FF800080"/>
      <rgbColor rgb="FF800000"/>
      <rgbColor rgb="FF008080"/>
      <rgbColor rgb="FF0000FF"/>
      <rgbColor rgb="FF06A5FA"/>
      <rgbColor rgb="FFE8F4FD"/>
      <rgbColor rgb="FFE2F4E5"/>
      <rgbColor rgb="FFFEF3E2"/>
      <rgbColor rgb="FF99CCFF"/>
      <rgbColor rgb="FFFF99CC"/>
      <rgbColor rgb="FFCC99FF"/>
      <rgbColor rgb="FFF3F5F7"/>
      <rgbColor rgb="FF3366FF"/>
      <rgbColor rgb="FF33CCCC"/>
      <rgbColor rgb="FF99CC00"/>
      <rgbColor rgb="FFFFCC00"/>
      <rgbColor rgb="FFFF9900"/>
      <rgbColor rgb="FFFF6600"/>
      <rgbColor rgb="FF4F6070"/>
      <rgbColor rgb="FF969696"/>
      <rgbColor rgb="FF003366"/>
      <rgbColor rgb="FF339966"/>
      <rgbColor rgb="FF003300"/>
      <rgbColor rgb="FF333300"/>
      <rgbColor rgb="FF993300"/>
      <rgbColor rgb="FF993366"/>
      <rgbColor rgb="FF555555"/>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6A5FA"/>
    <pageSetUpPr fitToPage="1"/>
  </sheetPr>
  <dimension ref="A1:K37"/>
  <sheetViews>
    <sheetView showGridLines="0" tabSelected="1" zoomScale="150" zoomScaleNormal="192" workbookViewId="0">
      <pane xSplit="2" ySplit="2" topLeftCell="C22" activePane="bottomRight" state="frozen"/>
      <selection pane="topRight" activeCell="C1" sqref="C1"/>
      <selection pane="bottomLeft" activeCell="A31" sqref="A31"/>
      <selection pane="bottomRight" activeCell="A35" sqref="A35"/>
    </sheetView>
  </sheetViews>
  <sheetFormatPr baseColWidth="10" defaultColWidth="8.83203125" defaultRowHeight="15" x14ac:dyDescent="0.2"/>
  <cols>
    <col min="1" max="1" width="6" customWidth="1"/>
    <col min="2" max="2" width="46" customWidth="1"/>
    <col min="3" max="5" width="13" customWidth="1"/>
    <col min="6" max="10" width="5" customWidth="1"/>
    <col min="11" max="11" width="86" customWidth="1"/>
  </cols>
  <sheetData>
    <row r="1" spans="1:11" ht="27.75" customHeight="1" x14ac:dyDescent="0.2">
      <c r="A1" s="3" t="s">
        <v>1</v>
      </c>
      <c r="B1" s="3"/>
      <c r="C1" s="3"/>
      <c r="D1" s="3"/>
      <c r="E1" s="3"/>
      <c r="F1" s="3"/>
      <c r="G1" s="3"/>
      <c r="H1" s="3"/>
      <c r="I1" s="3"/>
      <c r="J1" s="3"/>
      <c r="K1" s="3"/>
    </row>
    <row r="2" spans="1:11" ht="31.5" customHeight="1" x14ac:dyDescent="0.2">
      <c r="A2" s="4" t="s">
        <v>2</v>
      </c>
      <c r="B2" s="4" t="s">
        <v>3</v>
      </c>
      <c r="C2" s="4" t="s">
        <v>4</v>
      </c>
      <c r="D2" s="4" t="s">
        <v>5</v>
      </c>
      <c r="E2" s="4" t="s">
        <v>6</v>
      </c>
      <c r="F2" s="5" t="s">
        <v>7</v>
      </c>
      <c r="G2" s="5" t="s">
        <v>8</v>
      </c>
      <c r="H2" s="5" t="s">
        <v>9</v>
      </c>
      <c r="I2" s="5" t="s">
        <v>10</v>
      </c>
      <c r="J2" s="5" t="s">
        <v>11</v>
      </c>
      <c r="K2" s="4" t="s">
        <v>12</v>
      </c>
    </row>
    <row r="3" spans="1:11" ht="33" customHeight="1" x14ac:dyDescent="0.2">
      <c r="A3" s="6">
        <v>1</v>
      </c>
      <c r="B3" s="7" t="s">
        <v>13</v>
      </c>
      <c r="C3" s="8">
        <v>4500</v>
      </c>
      <c r="D3" s="9">
        <v>0</v>
      </c>
      <c r="E3" s="8">
        <v>30</v>
      </c>
      <c r="F3" s="10" t="s">
        <v>14</v>
      </c>
      <c r="G3" s="10"/>
      <c r="H3" s="10"/>
      <c r="I3" s="10"/>
      <c r="J3" s="10"/>
      <c r="K3" s="7" t="s">
        <v>15</v>
      </c>
    </row>
    <row r="4" spans="1:11" ht="33" customHeight="1" x14ac:dyDescent="0.2">
      <c r="A4" s="11">
        <v>2</v>
      </c>
      <c r="B4" s="12" t="s">
        <v>16</v>
      </c>
      <c r="C4" s="13">
        <v>4500</v>
      </c>
      <c r="D4" s="14">
        <v>0</v>
      </c>
      <c r="E4" s="13">
        <v>20</v>
      </c>
      <c r="F4" s="15"/>
      <c r="G4" s="15"/>
      <c r="H4" s="15"/>
      <c r="I4" s="15" t="s">
        <v>14</v>
      </c>
      <c r="J4" s="15"/>
      <c r="K4" s="12" t="s">
        <v>17</v>
      </c>
    </row>
    <row r="5" spans="1:11" ht="33" customHeight="1" x14ac:dyDescent="0.2">
      <c r="A5" s="6">
        <v>3</v>
      </c>
      <c r="B5" s="16" t="s">
        <v>18</v>
      </c>
      <c r="C5" s="8">
        <v>4500</v>
      </c>
      <c r="D5" s="9">
        <v>0</v>
      </c>
      <c r="E5" s="17">
        <v>710</v>
      </c>
      <c r="F5" s="10"/>
      <c r="G5" s="10"/>
      <c r="H5" s="10"/>
      <c r="I5" s="10"/>
      <c r="J5" s="10" t="s">
        <v>14</v>
      </c>
      <c r="K5" s="16" t="s">
        <v>19</v>
      </c>
    </row>
    <row r="6" spans="1:11" ht="33" customHeight="1" x14ac:dyDescent="0.2">
      <c r="A6" s="11">
        <v>4</v>
      </c>
      <c r="B6" s="12" t="s">
        <v>20</v>
      </c>
      <c r="C6" s="13">
        <v>4500</v>
      </c>
      <c r="D6" s="14">
        <v>25</v>
      </c>
      <c r="E6" s="13">
        <v>5</v>
      </c>
      <c r="F6" s="15"/>
      <c r="G6" s="15" t="s">
        <v>14</v>
      </c>
      <c r="H6" s="15"/>
      <c r="I6" s="15"/>
      <c r="J6" s="15"/>
      <c r="K6" s="12" t="s">
        <v>21</v>
      </c>
    </row>
    <row r="7" spans="1:11" ht="33" customHeight="1" x14ac:dyDescent="0.2">
      <c r="A7" s="6">
        <v>5</v>
      </c>
      <c r="B7" s="16" t="s">
        <v>22</v>
      </c>
      <c r="C7" s="8">
        <v>4500</v>
      </c>
      <c r="D7" s="9">
        <v>0</v>
      </c>
      <c r="E7" s="17">
        <v>10</v>
      </c>
      <c r="F7" s="10" t="s">
        <v>14</v>
      </c>
      <c r="G7" s="10"/>
      <c r="H7" s="10"/>
      <c r="I7" s="10"/>
      <c r="J7" s="10"/>
      <c r="K7" s="16" t="s">
        <v>23</v>
      </c>
    </row>
    <row r="8" spans="1:11" ht="33" customHeight="1" x14ac:dyDescent="0.2">
      <c r="A8" s="11">
        <v>6</v>
      </c>
      <c r="B8" s="12" t="s">
        <v>24</v>
      </c>
      <c r="C8" s="13">
        <v>4500</v>
      </c>
      <c r="D8" s="14">
        <v>0</v>
      </c>
      <c r="E8" s="13">
        <v>54</v>
      </c>
      <c r="F8" s="15" t="s">
        <v>14</v>
      </c>
      <c r="G8" s="15"/>
      <c r="H8" s="15"/>
      <c r="I8" s="15"/>
      <c r="J8" s="15"/>
      <c r="K8" s="12" t="s">
        <v>25</v>
      </c>
    </row>
    <row r="9" spans="1:11" ht="18" customHeight="1" x14ac:dyDescent="0.2">
      <c r="A9" s="6">
        <v>7</v>
      </c>
      <c r="B9" s="7" t="s">
        <v>26</v>
      </c>
      <c r="C9" s="8">
        <v>4500</v>
      </c>
      <c r="D9" s="9">
        <v>12</v>
      </c>
      <c r="E9" s="8">
        <v>3</v>
      </c>
      <c r="F9" s="10"/>
      <c r="G9" s="10" t="s">
        <v>14</v>
      </c>
      <c r="H9" s="10"/>
      <c r="I9" s="10"/>
      <c r="J9" s="10"/>
      <c r="K9" s="7" t="s">
        <v>27</v>
      </c>
    </row>
    <row r="10" spans="1:11" ht="33" customHeight="1" x14ac:dyDescent="0.2">
      <c r="A10" s="11">
        <v>8</v>
      </c>
      <c r="B10" s="12" t="s">
        <v>28</v>
      </c>
      <c r="C10" s="13">
        <v>4500</v>
      </c>
      <c r="D10" s="14">
        <v>0</v>
      </c>
      <c r="E10" s="13">
        <v>30</v>
      </c>
      <c r="F10" s="15" t="s">
        <v>14</v>
      </c>
      <c r="G10" s="15"/>
      <c r="H10" s="15"/>
      <c r="I10" s="15"/>
      <c r="J10" s="15"/>
      <c r="K10" s="12" t="s">
        <v>29</v>
      </c>
    </row>
    <row r="11" spans="1:11" ht="33" customHeight="1" x14ac:dyDescent="0.2">
      <c r="A11" s="6">
        <v>9</v>
      </c>
      <c r="B11" s="7" t="s">
        <v>30</v>
      </c>
      <c r="C11" s="8">
        <v>4500</v>
      </c>
      <c r="D11" s="9">
        <v>0</v>
      </c>
      <c r="E11" s="8">
        <v>30</v>
      </c>
      <c r="F11" s="10" t="s">
        <v>14</v>
      </c>
      <c r="G11" s="10"/>
      <c r="H11" s="10"/>
      <c r="I11" s="10"/>
      <c r="J11" s="10"/>
      <c r="K11" s="7" t="s">
        <v>31</v>
      </c>
    </row>
    <row r="12" spans="1:11" ht="18" customHeight="1" x14ac:dyDescent="0.2">
      <c r="A12" s="11">
        <v>10</v>
      </c>
      <c r="B12" s="12" t="s">
        <v>32</v>
      </c>
      <c r="C12" s="13">
        <v>4500</v>
      </c>
      <c r="D12" s="14">
        <v>0</v>
      </c>
      <c r="E12" s="13">
        <v>5</v>
      </c>
      <c r="F12" s="15"/>
      <c r="G12" s="15"/>
      <c r="H12" s="15"/>
      <c r="I12" s="15" t="s">
        <v>14</v>
      </c>
      <c r="J12" s="15"/>
      <c r="K12" s="12" t="s">
        <v>33</v>
      </c>
    </row>
    <row r="13" spans="1:11" ht="18" customHeight="1" x14ac:dyDescent="0.2">
      <c r="A13" s="6">
        <v>11</v>
      </c>
      <c r="B13" s="7" t="s">
        <v>34</v>
      </c>
      <c r="C13" s="8">
        <v>4500</v>
      </c>
      <c r="D13" s="9">
        <v>0</v>
      </c>
      <c r="E13" s="8">
        <v>10</v>
      </c>
      <c r="F13" s="10" t="s">
        <v>14</v>
      </c>
      <c r="G13" s="10"/>
      <c r="H13" s="10"/>
      <c r="I13" s="10"/>
      <c r="J13" s="10"/>
      <c r="K13" s="7" t="s">
        <v>35</v>
      </c>
    </row>
    <row r="14" spans="1:11" ht="33" customHeight="1" x14ac:dyDescent="0.2">
      <c r="A14" s="11">
        <v>12</v>
      </c>
      <c r="B14" s="12" t="s">
        <v>36</v>
      </c>
      <c r="C14" s="13">
        <v>4500</v>
      </c>
      <c r="D14" s="14">
        <v>0</v>
      </c>
      <c r="E14" s="13">
        <v>25</v>
      </c>
      <c r="F14" s="15" t="s">
        <v>14</v>
      </c>
      <c r="G14" s="15"/>
      <c r="H14" s="15"/>
      <c r="I14" s="15"/>
      <c r="J14" s="15"/>
      <c r="K14" s="12" t="s">
        <v>37</v>
      </c>
    </row>
    <row r="15" spans="1:11" ht="33" customHeight="1" x14ac:dyDescent="0.2">
      <c r="A15" s="6">
        <v>13</v>
      </c>
      <c r="B15" s="7" t="s">
        <v>38</v>
      </c>
      <c r="C15" s="8">
        <v>4500</v>
      </c>
      <c r="D15" s="9">
        <v>0</v>
      </c>
      <c r="E15" s="8">
        <v>20</v>
      </c>
      <c r="F15" s="10" t="s">
        <v>14</v>
      </c>
      <c r="G15" s="10"/>
      <c r="H15" s="10"/>
      <c r="I15" s="10"/>
      <c r="J15" s="10"/>
      <c r="K15" s="7" t="s">
        <v>39</v>
      </c>
    </row>
    <row r="16" spans="1:11" ht="33" customHeight="1" x14ac:dyDescent="0.2">
      <c r="A16" s="11">
        <v>14</v>
      </c>
      <c r="B16" s="12" t="s">
        <v>40</v>
      </c>
      <c r="C16" s="13">
        <v>634</v>
      </c>
      <c r="D16" s="14">
        <v>0</v>
      </c>
      <c r="E16" s="13">
        <v>5</v>
      </c>
      <c r="F16" s="15"/>
      <c r="G16" s="15"/>
      <c r="H16" s="15" t="s">
        <v>14</v>
      </c>
      <c r="I16" s="15"/>
      <c r="J16" s="15"/>
      <c r="K16" s="12" t="s">
        <v>41</v>
      </c>
    </row>
    <row r="17" spans="1:11" ht="18" customHeight="1" x14ac:dyDescent="0.2">
      <c r="A17" s="6">
        <v>15</v>
      </c>
      <c r="B17" s="7" t="s">
        <v>42</v>
      </c>
      <c r="C17" s="8">
        <v>634</v>
      </c>
      <c r="D17" s="9">
        <v>10</v>
      </c>
      <c r="E17" s="8">
        <v>5</v>
      </c>
      <c r="F17" s="10"/>
      <c r="G17" s="10" t="s">
        <v>14</v>
      </c>
      <c r="H17" s="10"/>
      <c r="I17" s="10"/>
      <c r="J17" s="10"/>
      <c r="K17" s="7" t="s">
        <v>43</v>
      </c>
    </row>
    <row r="18" spans="1:11" ht="18" customHeight="1" x14ac:dyDescent="0.2">
      <c r="A18" s="11">
        <v>16</v>
      </c>
      <c r="B18" s="12" t="s">
        <v>44</v>
      </c>
      <c r="C18" s="13">
        <v>634</v>
      </c>
      <c r="D18" s="14">
        <v>0</v>
      </c>
      <c r="E18" s="13">
        <v>15</v>
      </c>
      <c r="F18" s="15" t="s">
        <v>14</v>
      </c>
      <c r="G18" s="15"/>
      <c r="H18" s="15"/>
      <c r="I18" s="15"/>
      <c r="J18" s="15"/>
      <c r="K18" s="12" t="s">
        <v>45</v>
      </c>
    </row>
    <row r="19" spans="1:11" ht="33" customHeight="1" x14ac:dyDescent="0.2">
      <c r="A19" s="11">
        <v>17</v>
      </c>
      <c r="B19" s="16" t="s">
        <v>46</v>
      </c>
      <c r="C19" s="13">
        <v>634</v>
      </c>
      <c r="D19" s="14">
        <v>0</v>
      </c>
      <c r="E19" s="17">
        <v>15</v>
      </c>
      <c r="F19" s="15"/>
      <c r="G19" s="15"/>
      <c r="H19" s="15" t="s">
        <v>14</v>
      </c>
      <c r="I19" s="15"/>
      <c r="J19" s="15"/>
      <c r="K19" s="16" t="s">
        <v>47</v>
      </c>
    </row>
    <row r="20" spans="1:11" ht="18" customHeight="1" x14ac:dyDescent="0.2">
      <c r="A20" s="6">
        <v>18</v>
      </c>
      <c r="B20" s="7" t="s">
        <v>0</v>
      </c>
      <c r="C20" s="8">
        <v>634</v>
      </c>
      <c r="D20" s="9">
        <v>0</v>
      </c>
      <c r="E20" s="8">
        <v>15</v>
      </c>
      <c r="F20" s="10" t="s">
        <v>14</v>
      </c>
      <c r="G20" s="10"/>
      <c r="H20" s="10"/>
      <c r="I20" s="10"/>
      <c r="J20" s="10"/>
      <c r="K20" s="7" t="s">
        <v>48</v>
      </c>
    </row>
    <row r="21" spans="1:11" ht="18" customHeight="1" x14ac:dyDescent="0.2">
      <c r="A21" s="11">
        <v>19</v>
      </c>
      <c r="B21" s="12" t="s">
        <v>49</v>
      </c>
      <c r="C21" s="13">
        <v>562</v>
      </c>
      <c r="D21" s="14">
        <v>0</v>
      </c>
      <c r="E21" s="13">
        <v>45</v>
      </c>
      <c r="F21" s="15" t="s">
        <v>14</v>
      </c>
      <c r="G21" s="15"/>
      <c r="H21" s="15"/>
      <c r="I21" s="15"/>
      <c r="J21" s="15"/>
      <c r="K21" s="12" t="s">
        <v>50</v>
      </c>
    </row>
    <row r="22" spans="1:11" ht="18" customHeight="1" x14ac:dyDescent="0.2">
      <c r="A22" s="6">
        <v>20</v>
      </c>
      <c r="B22" s="7" t="s">
        <v>51</v>
      </c>
      <c r="C22" s="8">
        <v>562</v>
      </c>
      <c r="D22" s="9">
        <v>0</v>
      </c>
      <c r="E22" s="8">
        <v>5</v>
      </c>
      <c r="F22" s="10"/>
      <c r="G22" s="10"/>
      <c r="H22" s="10"/>
      <c r="I22" s="10" t="s">
        <v>14</v>
      </c>
      <c r="J22" s="10"/>
      <c r="K22" s="7" t="s">
        <v>52</v>
      </c>
    </row>
    <row r="23" spans="1:11" ht="18" customHeight="1" x14ac:dyDescent="0.2">
      <c r="A23" s="11">
        <v>21</v>
      </c>
      <c r="B23" s="12" t="s">
        <v>53</v>
      </c>
      <c r="C23" s="13">
        <v>562</v>
      </c>
      <c r="D23" s="14">
        <v>15</v>
      </c>
      <c r="E23" s="13">
        <v>4</v>
      </c>
      <c r="F23" s="15"/>
      <c r="G23" s="15" t="s">
        <v>14</v>
      </c>
      <c r="H23" s="15"/>
      <c r="I23" s="15"/>
      <c r="J23" s="15"/>
      <c r="K23" s="12" t="s">
        <v>54</v>
      </c>
    </row>
    <row r="24" spans="1:11" ht="33" customHeight="1" x14ac:dyDescent="0.2">
      <c r="A24" s="6">
        <v>22</v>
      </c>
      <c r="B24" s="7" t="s">
        <v>55</v>
      </c>
      <c r="C24" s="8">
        <v>540</v>
      </c>
      <c r="D24" s="9">
        <v>0</v>
      </c>
      <c r="E24" s="8">
        <v>720</v>
      </c>
      <c r="F24" s="10" t="s">
        <v>14</v>
      </c>
      <c r="G24" s="10"/>
      <c r="H24" s="10"/>
      <c r="I24" s="10"/>
      <c r="J24" s="10"/>
      <c r="K24" s="7" t="s">
        <v>56</v>
      </c>
    </row>
    <row r="25" spans="1:11" ht="18" customHeight="1" x14ac:dyDescent="0.2">
      <c r="A25" s="11">
        <v>23</v>
      </c>
      <c r="B25" s="12" t="s">
        <v>57</v>
      </c>
      <c r="C25" s="13">
        <v>540</v>
      </c>
      <c r="D25" s="14">
        <v>10</v>
      </c>
      <c r="E25" s="13">
        <v>3</v>
      </c>
      <c r="F25" s="15"/>
      <c r="G25" s="15" t="s">
        <v>14</v>
      </c>
      <c r="H25" s="15"/>
      <c r="I25" s="15"/>
      <c r="J25" s="15"/>
      <c r="K25" s="12" t="s">
        <v>58</v>
      </c>
    </row>
    <row r="26" spans="1:11" ht="33" customHeight="1" x14ac:dyDescent="0.2">
      <c r="A26" s="6">
        <v>24</v>
      </c>
      <c r="B26" s="7" t="s">
        <v>59</v>
      </c>
      <c r="C26" s="8">
        <v>540</v>
      </c>
      <c r="D26" s="9">
        <v>0</v>
      </c>
      <c r="E26" s="8">
        <v>216</v>
      </c>
      <c r="F26" s="10" t="s">
        <v>14</v>
      </c>
      <c r="G26" s="10"/>
      <c r="H26" s="10"/>
      <c r="I26" s="10"/>
      <c r="J26" s="10"/>
      <c r="K26" s="7" t="s">
        <v>60</v>
      </c>
    </row>
    <row r="27" spans="1:11" ht="18" customHeight="1" x14ac:dyDescent="0.2">
      <c r="A27" s="6">
        <v>25</v>
      </c>
      <c r="B27" s="7" t="s">
        <v>61</v>
      </c>
      <c r="C27" s="8">
        <v>540</v>
      </c>
      <c r="D27" s="9">
        <v>0</v>
      </c>
      <c r="E27" s="8">
        <v>10</v>
      </c>
      <c r="F27" s="10"/>
      <c r="G27" s="10"/>
      <c r="H27" s="10"/>
      <c r="I27" s="10" t="s">
        <v>14</v>
      </c>
      <c r="J27" s="10"/>
      <c r="K27" s="7" t="s">
        <v>62</v>
      </c>
    </row>
    <row r="28" spans="1:11" ht="18" customHeight="1" x14ac:dyDescent="0.2">
      <c r="A28" s="11">
        <v>26</v>
      </c>
      <c r="B28" s="12" t="s">
        <v>63</v>
      </c>
      <c r="C28" s="13">
        <v>540</v>
      </c>
      <c r="D28" s="14">
        <v>0</v>
      </c>
      <c r="E28" s="13">
        <v>40</v>
      </c>
      <c r="F28" s="15" t="s">
        <v>14</v>
      </c>
      <c r="G28" s="15"/>
      <c r="H28" s="15"/>
      <c r="I28" s="15"/>
      <c r="J28" s="15"/>
      <c r="K28" s="12" t="s">
        <v>64</v>
      </c>
    </row>
    <row r="29" spans="1:11" ht="18" customHeight="1" x14ac:dyDescent="0.2">
      <c r="A29" s="6">
        <v>27</v>
      </c>
      <c r="B29" s="7" t="s">
        <v>65</v>
      </c>
      <c r="C29" s="8">
        <v>540</v>
      </c>
      <c r="D29" s="9">
        <v>25</v>
      </c>
      <c r="E29" s="8">
        <v>5</v>
      </c>
      <c r="F29" s="10"/>
      <c r="G29" s="10" t="s">
        <v>14</v>
      </c>
      <c r="H29" s="10"/>
      <c r="I29" s="10"/>
      <c r="J29" s="10"/>
      <c r="K29" s="7" t="s">
        <v>66</v>
      </c>
    </row>
    <row r="30" spans="1:11" ht="33" customHeight="1" x14ac:dyDescent="0.2">
      <c r="A30" s="11">
        <v>28</v>
      </c>
      <c r="B30" s="12" t="s">
        <v>67</v>
      </c>
      <c r="C30" s="13">
        <v>540</v>
      </c>
      <c r="D30" s="14">
        <v>0</v>
      </c>
      <c r="E30" s="13">
        <v>4320</v>
      </c>
      <c r="F30" s="15"/>
      <c r="G30" s="15"/>
      <c r="H30" s="15"/>
      <c r="I30" s="15"/>
      <c r="J30" s="15" t="s">
        <v>14</v>
      </c>
      <c r="K30" s="12" t="s">
        <v>68</v>
      </c>
    </row>
    <row r="32" spans="1:11" x14ac:dyDescent="0.2">
      <c r="B32" s="18" t="s">
        <v>69</v>
      </c>
      <c r="D32" s="19">
        <f>SUM(D3:D30)</f>
        <v>97</v>
      </c>
      <c r="E32" s="20">
        <f>SUM(E3:E30)</f>
        <v>6375</v>
      </c>
      <c r="F32" s="19">
        <f>COUNTA(F3:F30)</f>
        <v>14</v>
      </c>
      <c r="G32" s="19">
        <f>COUNTA(G3:G30)</f>
        <v>6</v>
      </c>
      <c r="H32" s="19">
        <f>COUNTA(H3:H30)</f>
        <v>2</v>
      </c>
      <c r="I32" s="19">
        <f>COUNTA(I3:I30)</f>
        <v>4</v>
      </c>
      <c r="J32" s="19">
        <f>COUNTA(J3:J30)</f>
        <v>2</v>
      </c>
      <c r="K32" s="21" t="s">
        <v>70</v>
      </c>
    </row>
    <row r="34" spans="1:11" ht="111.75" customHeight="1" x14ac:dyDescent="0.2">
      <c r="A34" s="2" t="s">
        <v>71</v>
      </c>
      <c r="B34" s="2"/>
      <c r="C34" s="2"/>
      <c r="D34" s="2"/>
      <c r="E34" s="2"/>
      <c r="F34" s="2"/>
      <c r="G34" s="2"/>
      <c r="H34" s="2"/>
      <c r="I34" s="2"/>
      <c r="J34" s="2"/>
      <c r="K34" s="2"/>
    </row>
    <row r="36" spans="1:11" ht="39.75" customHeight="1" x14ac:dyDescent="0.2">
      <c r="A36" s="1"/>
      <c r="B36" s="1"/>
      <c r="C36" s="1"/>
      <c r="D36" s="1"/>
      <c r="E36" s="1"/>
      <c r="F36" s="1"/>
      <c r="G36" s="1"/>
      <c r="H36" s="1"/>
      <c r="I36" s="1"/>
      <c r="J36" s="1"/>
      <c r="K36" s="1"/>
    </row>
    <row r="37" spans="1:11" x14ac:dyDescent="0.2">
      <c r="A37" s="22"/>
    </row>
  </sheetData>
  <mergeCells count="3">
    <mergeCell ref="A1:K1"/>
    <mergeCell ref="A34:K34"/>
    <mergeCell ref="A36:K36"/>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6A5FA"/>
    <pageSetUpPr fitToPage="1"/>
  </sheetPr>
  <dimension ref="A1:K36"/>
  <sheetViews>
    <sheetView showGridLines="0" zoomScale="179" zoomScaleNormal="179" workbookViewId="0">
      <pane xSplit="2" ySplit="2" topLeftCell="C27" activePane="bottomRight" state="frozen"/>
      <selection pane="topRight" activeCell="C1" sqref="C1"/>
      <selection pane="bottomLeft" activeCell="A30" sqref="A30"/>
      <selection pane="bottomRight" activeCell="A35" sqref="A35"/>
    </sheetView>
  </sheetViews>
  <sheetFormatPr baseColWidth="10" defaultColWidth="8.83203125" defaultRowHeight="15" x14ac:dyDescent="0.2"/>
  <cols>
    <col min="1" max="1" width="6" customWidth="1"/>
    <col min="2" max="2" width="46" customWidth="1"/>
    <col min="3" max="5" width="13" customWidth="1"/>
    <col min="6" max="10" width="5" customWidth="1"/>
    <col min="11" max="11" width="86" customWidth="1"/>
  </cols>
  <sheetData>
    <row r="1" spans="1:11" ht="27.75" customHeight="1" x14ac:dyDescent="0.2">
      <c r="A1" s="3" t="s">
        <v>72</v>
      </c>
      <c r="B1" s="3"/>
      <c r="C1" s="3"/>
      <c r="D1" s="3"/>
      <c r="E1" s="3"/>
      <c r="F1" s="3"/>
      <c r="G1" s="3"/>
      <c r="H1" s="3"/>
      <c r="I1" s="3"/>
      <c r="J1" s="3"/>
      <c r="K1" s="3"/>
    </row>
    <row r="2" spans="1:11" ht="31.5" customHeight="1" x14ac:dyDescent="0.2">
      <c r="A2" s="4" t="s">
        <v>2</v>
      </c>
      <c r="B2" s="4" t="s">
        <v>3</v>
      </c>
      <c r="C2" s="4" t="s">
        <v>4</v>
      </c>
      <c r="D2" s="4" t="s">
        <v>5</v>
      </c>
      <c r="E2" s="4" t="s">
        <v>6</v>
      </c>
      <c r="F2" s="5" t="s">
        <v>7</v>
      </c>
      <c r="G2" s="5" t="s">
        <v>8</v>
      </c>
      <c r="H2" s="5" t="s">
        <v>9</v>
      </c>
      <c r="I2" s="5" t="s">
        <v>10</v>
      </c>
      <c r="J2" s="5" t="s">
        <v>11</v>
      </c>
      <c r="K2" s="4" t="s">
        <v>12</v>
      </c>
    </row>
    <row r="3" spans="1:11" ht="33" customHeight="1" x14ac:dyDescent="0.2">
      <c r="A3" s="6">
        <v>1</v>
      </c>
      <c r="B3" s="7" t="s">
        <v>13</v>
      </c>
      <c r="C3" s="8">
        <v>4500</v>
      </c>
      <c r="D3" s="9">
        <v>0</v>
      </c>
      <c r="E3" s="8">
        <v>30</v>
      </c>
      <c r="F3" s="10" t="s">
        <v>14</v>
      </c>
      <c r="G3" s="10"/>
      <c r="H3" s="10"/>
      <c r="I3" s="10"/>
      <c r="J3" s="10"/>
      <c r="K3" s="7" t="s">
        <v>15</v>
      </c>
    </row>
    <row r="4" spans="1:11" ht="33" customHeight="1" x14ac:dyDescent="0.2">
      <c r="A4" s="11">
        <v>2</v>
      </c>
      <c r="B4" s="12" t="s">
        <v>16</v>
      </c>
      <c r="C4" s="13">
        <v>4500</v>
      </c>
      <c r="D4" s="14">
        <v>0</v>
      </c>
      <c r="E4" s="13">
        <v>20</v>
      </c>
      <c r="F4" s="15"/>
      <c r="G4" s="15"/>
      <c r="H4" s="15"/>
      <c r="I4" s="15" t="s">
        <v>14</v>
      </c>
      <c r="J4" s="15"/>
      <c r="K4" s="12" t="s">
        <v>17</v>
      </c>
    </row>
    <row r="5" spans="1:11" ht="33" customHeight="1" x14ac:dyDescent="0.2">
      <c r="A5" s="6">
        <v>3</v>
      </c>
      <c r="B5" s="16" t="s">
        <v>18</v>
      </c>
      <c r="C5" s="8">
        <v>4500</v>
      </c>
      <c r="D5" s="9">
        <v>0</v>
      </c>
      <c r="E5" s="17">
        <v>710</v>
      </c>
      <c r="F5" s="10"/>
      <c r="G5" s="10"/>
      <c r="H5" s="10"/>
      <c r="I5" s="10"/>
      <c r="J5" s="10" t="s">
        <v>14</v>
      </c>
      <c r="K5" s="16" t="s">
        <v>19</v>
      </c>
    </row>
    <row r="6" spans="1:11" ht="33" customHeight="1" x14ac:dyDescent="0.2">
      <c r="A6" s="11">
        <v>4</v>
      </c>
      <c r="B6" s="12" t="s">
        <v>20</v>
      </c>
      <c r="C6" s="13">
        <v>4500</v>
      </c>
      <c r="D6" s="14">
        <v>25</v>
      </c>
      <c r="E6" s="13">
        <v>5</v>
      </c>
      <c r="F6" s="15"/>
      <c r="G6" s="15" t="s">
        <v>14</v>
      </c>
      <c r="H6" s="15"/>
      <c r="I6" s="15"/>
      <c r="J6" s="15"/>
      <c r="K6" s="12" t="s">
        <v>21</v>
      </c>
    </row>
    <row r="7" spans="1:11" ht="33" customHeight="1" x14ac:dyDescent="0.2">
      <c r="A7" s="6">
        <v>5</v>
      </c>
      <c r="B7" s="16" t="s">
        <v>22</v>
      </c>
      <c r="C7" s="8">
        <v>4500</v>
      </c>
      <c r="D7" s="9">
        <v>0</v>
      </c>
      <c r="E7" s="17">
        <v>10</v>
      </c>
      <c r="F7" s="10" t="s">
        <v>14</v>
      </c>
      <c r="G7" s="10"/>
      <c r="H7" s="10"/>
      <c r="I7" s="10"/>
      <c r="J7" s="10"/>
      <c r="K7" s="16" t="s">
        <v>23</v>
      </c>
    </row>
    <row r="8" spans="1:11" ht="33" customHeight="1" x14ac:dyDescent="0.2">
      <c r="A8" s="11">
        <v>6</v>
      </c>
      <c r="B8" s="12" t="s">
        <v>24</v>
      </c>
      <c r="C8" s="13">
        <v>4500</v>
      </c>
      <c r="D8" s="14">
        <v>0</v>
      </c>
      <c r="E8" s="13">
        <v>54</v>
      </c>
      <c r="F8" s="15" t="s">
        <v>14</v>
      </c>
      <c r="G8" s="15"/>
      <c r="H8" s="15"/>
      <c r="I8" s="15"/>
      <c r="J8" s="15"/>
      <c r="K8" s="12" t="s">
        <v>25</v>
      </c>
    </row>
    <row r="9" spans="1:11" ht="18" customHeight="1" x14ac:dyDescent="0.2">
      <c r="A9" s="6">
        <v>7</v>
      </c>
      <c r="B9" s="7" t="s">
        <v>26</v>
      </c>
      <c r="C9" s="8">
        <v>4500</v>
      </c>
      <c r="D9" s="9">
        <v>12</v>
      </c>
      <c r="E9" s="8">
        <v>3</v>
      </c>
      <c r="F9" s="10"/>
      <c r="G9" s="10" t="s">
        <v>14</v>
      </c>
      <c r="H9" s="10"/>
      <c r="I9" s="10"/>
      <c r="J9" s="10"/>
      <c r="K9" s="7" t="s">
        <v>27</v>
      </c>
    </row>
    <row r="10" spans="1:11" ht="33" customHeight="1" x14ac:dyDescent="0.2">
      <c r="A10" s="11">
        <v>8</v>
      </c>
      <c r="B10" s="12" t="s">
        <v>28</v>
      </c>
      <c r="C10" s="13">
        <v>4500</v>
      </c>
      <c r="D10" s="14">
        <v>0</v>
      </c>
      <c r="E10" s="13">
        <v>30</v>
      </c>
      <c r="F10" s="15" t="s">
        <v>14</v>
      </c>
      <c r="G10" s="15"/>
      <c r="H10" s="15"/>
      <c r="I10" s="15"/>
      <c r="J10" s="15"/>
      <c r="K10" s="12" t="s">
        <v>29</v>
      </c>
    </row>
    <row r="11" spans="1:11" ht="33" customHeight="1" x14ac:dyDescent="0.2">
      <c r="A11" s="6">
        <v>9</v>
      </c>
      <c r="B11" s="7" t="s">
        <v>73</v>
      </c>
      <c r="C11" s="8">
        <v>4500</v>
      </c>
      <c r="D11" s="9">
        <v>0</v>
      </c>
      <c r="E11" s="8">
        <v>30</v>
      </c>
      <c r="F11" s="10" t="s">
        <v>14</v>
      </c>
      <c r="G11" s="10"/>
      <c r="H11" s="10"/>
      <c r="I11" s="10"/>
      <c r="J11" s="10"/>
      <c r="K11" s="7" t="s">
        <v>31</v>
      </c>
    </row>
    <row r="12" spans="1:11" ht="18" customHeight="1" x14ac:dyDescent="0.2">
      <c r="A12" s="11">
        <v>10</v>
      </c>
      <c r="B12" s="12" t="s">
        <v>32</v>
      </c>
      <c r="C12" s="13">
        <v>4500</v>
      </c>
      <c r="D12" s="14">
        <v>0</v>
      </c>
      <c r="E12" s="13">
        <v>5</v>
      </c>
      <c r="F12" s="15"/>
      <c r="G12" s="15"/>
      <c r="H12" s="15"/>
      <c r="I12" s="15" t="s">
        <v>14</v>
      </c>
      <c r="J12" s="15"/>
      <c r="K12" s="12" t="s">
        <v>33</v>
      </c>
    </row>
    <row r="13" spans="1:11" ht="18" customHeight="1" x14ac:dyDescent="0.2">
      <c r="A13" s="6">
        <v>11</v>
      </c>
      <c r="B13" s="7" t="s">
        <v>34</v>
      </c>
      <c r="C13" s="8">
        <v>4500</v>
      </c>
      <c r="D13" s="9">
        <v>0</v>
      </c>
      <c r="E13" s="8">
        <v>10</v>
      </c>
      <c r="F13" s="10" t="s">
        <v>14</v>
      </c>
      <c r="G13" s="10"/>
      <c r="H13" s="10"/>
      <c r="I13" s="10"/>
      <c r="J13" s="10"/>
      <c r="K13" s="7" t="s">
        <v>35</v>
      </c>
    </row>
    <row r="14" spans="1:11" ht="18" customHeight="1" x14ac:dyDescent="0.2">
      <c r="A14" s="11">
        <v>12</v>
      </c>
      <c r="B14" s="12" t="s">
        <v>74</v>
      </c>
      <c r="C14" s="13">
        <v>4500</v>
      </c>
      <c r="D14" s="14">
        <v>0</v>
      </c>
      <c r="E14" s="13">
        <v>25</v>
      </c>
      <c r="F14" s="15" t="s">
        <v>14</v>
      </c>
      <c r="G14" s="15"/>
      <c r="H14" s="15"/>
      <c r="I14" s="15"/>
      <c r="J14" s="15"/>
      <c r="K14" s="12" t="s">
        <v>75</v>
      </c>
    </row>
    <row r="15" spans="1:11" ht="33" customHeight="1" x14ac:dyDescent="0.2">
      <c r="A15" s="6">
        <v>13</v>
      </c>
      <c r="B15" s="7" t="s">
        <v>38</v>
      </c>
      <c r="C15" s="8">
        <v>4500</v>
      </c>
      <c r="D15" s="9">
        <v>0</v>
      </c>
      <c r="E15" s="8">
        <v>20</v>
      </c>
      <c r="F15" s="10" t="s">
        <v>14</v>
      </c>
      <c r="G15" s="10"/>
      <c r="H15" s="10"/>
      <c r="I15" s="10"/>
      <c r="J15" s="10"/>
      <c r="K15" s="7" t="s">
        <v>76</v>
      </c>
    </row>
    <row r="16" spans="1:11" ht="33" customHeight="1" x14ac:dyDescent="0.2">
      <c r="A16" s="11">
        <v>14</v>
      </c>
      <c r="B16" s="16" t="s">
        <v>77</v>
      </c>
      <c r="C16" s="13">
        <v>578</v>
      </c>
      <c r="D16" s="14">
        <v>0</v>
      </c>
      <c r="E16" s="17">
        <v>5</v>
      </c>
      <c r="F16" s="15"/>
      <c r="G16" s="15"/>
      <c r="H16" s="15" t="s">
        <v>14</v>
      </c>
      <c r="I16" s="15"/>
      <c r="J16" s="15"/>
      <c r="K16" s="16" t="s">
        <v>78</v>
      </c>
    </row>
    <row r="17" spans="1:11" ht="33" customHeight="1" x14ac:dyDescent="0.2">
      <c r="A17" s="11">
        <v>15</v>
      </c>
      <c r="B17" s="16" t="s">
        <v>79</v>
      </c>
      <c r="C17" s="13">
        <v>578</v>
      </c>
      <c r="D17" s="14">
        <v>0</v>
      </c>
      <c r="E17" s="17">
        <v>20</v>
      </c>
      <c r="F17" s="15" t="s">
        <v>14</v>
      </c>
      <c r="G17" s="15"/>
      <c r="H17" s="15"/>
      <c r="I17" s="15"/>
      <c r="J17" s="15"/>
      <c r="K17" s="16" t="s">
        <v>80</v>
      </c>
    </row>
    <row r="18" spans="1:11" ht="18" customHeight="1" x14ac:dyDescent="0.2">
      <c r="A18" s="6">
        <v>16</v>
      </c>
      <c r="B18" s="7" t="s">
        <v>81</v>
      </c>
      <c r="C18" s="8">
        <v>578</v>
      </c>
      <c r="D18" s="9">
        <v>0</v>
      </c>
      <c r="E18" s="8">
        <v>5</v>
      </c>
      <c r="F18" s="10"/>
      <c r="G18" s="10"/>
      <c r="H18" s="10"/>
      <c r="I18" s="10" t="s">
        <v>14</v>
      </c>
      <c r="J18" s="10"/>
      <c r="K18" s="7" t="s">
        <v>82</v>
      </c>
    </row>
    <row r="19" spans="1:11" ht="18" customHeight="1" x14ac:dyDescent="0.2">
      <c r="A19" s="11">
        <v>17</v>
      </c>
      <c r="B19" s="12" t="s">
        <v>83</v>
      </c>
      <c r="C19" s="13">
        <v>578</v>
      </c>
      <c r="D19" s="14">
        <v>10</v>
      </c>
      <c r="E19" s="13">
        <v>5</v>
      </c>
      <c r="F19" s="15"/>
      <c r="G19" s="15" t="s">
        <v>14</v>
      </c>
      <c r="H19" s="15"/>
      <c r="I19" s="15"/>
      <c r="J19" s="15"/>
      <c r="K19" s="12" t="s">
        <v>43</v>
      </c>
    </row>
    <row r="20" spans="1:11" ht="18" customHeight="1" x14ac:dyDescent="0.2">
      <c r="A20" s="6">
        <v>18</v>
      </c>
      <c r="B20" s="16" t="s">
        <v>84</v>
      </c>
      <c r="C20" s="8">
        <v>528</v>
      </c>
      <c r="D20" s="9">
        <v>0</v>
      </c>
      <c r="E20" s="17">
        <v>25</v>
      </c>
      <c r="F20" s="10" t="s">
        <v>14</v>
      </c>
      <c r="G20" s="10"/>
      <c r="H20" s="10"/>
      <c r="I20" s="10"/>
      <c r="J20" s="10"/>
      <c r="K20" s="16" t="s">
        <v>85</v>
      </c>
    </row>
    <row r="21" spans="1:11" ht="18" customHeight="1" x14ac:dyDescent="0.2">
      <c r="A21" s="11">
        <v>19</v>
      </c>
      <c r="B21" s="16" t="s">
        <v>0</v>
      </c>
      <c r="C21" s="13">
        <v>495</v>
      </c>
      <c r="D21" s="14">
        <v>0</v>
      </c>
      <c r="E21" s="17">
        <v>15</v>
      </c>
      <c r="F21" s="15" t="s">
        <v>14</v>
      </c>
      <c r="G21" s="15"/>
      <c r="H21" s="15"/>
      <c r="I21" s="15"/>
      <c r="J21" s="15"/>
      <c r="K21" s="16" t="s">
        <v>86</v>
      </c>
    </row>
    <row r="22" spans="1:11" ht="33" customHeight="1" x14ac:dyDescent="0.2">
      <c r="A22" s="6">
        <v>20</v>
      </c>
      <c r="B22" s="7" t="s">
        <v>87</v>
      </c>
      <c r="C22" s="8">
        <v>495</v>
      </c>
      <c r="D22" s="9">
        <v>0</v>
      </c>
      <c r="E22" s="8">
        <v>75</v>
      </c>
      <c r="F22" s="10" t="s">
        <v>14</v>
      </c>
      <c r="G22" s="10"/>
      <c r="H22" s="10"/>
      <c r="I22" s="10"/>
      <c r="J22" s="10"/>
      <c r="K22" s="7" t="s">
        <v>88</v>
      </c>
    </row>
    <row r="23" spans="1:11" ht="18" customHeight="1" x14ac:dyDescent="0.2">
      <c r="A23" s="11">
        <v>21</v>
      </c>
      <c r="B23" s="12" t="s">
        <v>89</v>
      </c>
      <c r="C23" s="13">
        <v>495</v>
      </c>
      <c r="D23" s="14">
        <v>0</v>
      </c>
      <c r="E23" s="13">
        <v>5</v>
      </c>
      <c r="F23" s="15"/>
      <c r="G23" s="15"/>
      <c r="H23" s="15"/>
      <c r="I23" s="15" t="s">
        <v>14</v>
      </c>
      <c r="J23" s="15"/>
      <c r="K23" s="12" t="s">
        <v>90</v>
      </c>
    </row>
    <row r="24" spans="1:11" ht="33" customHeight="1" x14ac:dyDescent="0.2">
      <c r="A24" s="11">
        <v>22</v>
      </c>
      <c r="B24" s="12" t="s">
        <v>91</v>
      </c>
      <c r="C24" s="13">
        <v>495</v>
      </c>
      <c r="D24" s="14">
        <v>0</v>
      </c>
      <c r="E24" s="13">
        <v>26</v>
      </c>
      <c r="F24" s="15"/>
      <c r="G24" s="15"/>
      <c r="H24" s="15" t="s">
        <v>14</v>
      </c>
      <c r="I24" s="15"/>
      <c r="J24" s="15"/>
      <c r="K24" s="12" t="s">
        <v>92</v>
      </c>
    </row>
    <row r="25" spans="1:11" ht="18" customHeight="1" x14ac:dyDescent="0.2">
      <c r="A25" s="6">
        <v>23</v>
      </c>
      <c r="B25" s="7" t="s">
        <v>57</v>
      </c>
      <c r="C25" s="8">
        <v>495</v>
      </c>
      <c r="D25" s="9">
        <v>12</v>
      </c>
      <c r="E25" s="8">
        <v>4</v>
      </c>
      <c r="F25" s="10"/>
      <c r="G25" s="10" t="s">
        <v>14</v>
      </c>
      <c r="H25" s="10"/>
      <c r="I25" s="10"/>
      <c r="J25" s="10"/>
      <c r="K25" s="7" t="s">
        <v>58</v>
      </c>
    </row>
    <row r="26" spans="1:11" ht="33" customHeight="1" x14ac:dyDescent="0.2">
      <c r="A26" s="11">
        <v>24</v>
      </c>
      <c r="B26" s="12" t="s">
        <v>93</v>
      </c>
      <c r="C26" s="13">
        <v>495</v>
      </c>
      <c r="D26" s="14">
        <v>0</v>
      </c>
      <c r="E26" s="13">
        <v>165</v>
      </c>
      <c r="F26" s="15" t="s">
        <v>14</v>
      </c>
      <c r="G26" s="15"/>
      <c r="H26" s="15"/>
      <c r="I26" s="15"/>
      <c r="J26" s="15"/>
      <c r="K26" s="12" t="s">
        <v>94</v>
      </c>
    </row>
    <row r="27" spans="1:11" ht="18" customHeight="1" x14ac:dyDescent="0.2">
      <c r="A27" s="11">
        <v>25</v>
      </c>
      <c r="B27" s="12" t="s">
        <v>61</v>
      </c>
      <c r="C27" s="13">
        <v>495</v>
      </c>
      <c r="D27" s="14">
        <v>0</v>
      </c>
      <c r="E27" s="13">
        <v>10</v>
      </c>
      <c r="F27" s="15"/>
      <c r="G27" s="15"/>
      <c r="H27" s="15"/>
      <c r="I27" s="15" t="s">
        <v>14</v>
      </c>
      <c r="J27" s="15"/>
      <c r="K27" s="12" t="s">
        <v>62</v>
      </c>
    </row>
    <row r="28" spans="1:11" ht="18" customHeight="1" x14ac:dyDescent="0.2">
      <c r="A28" s="6">
        <v>26</v>
      </c>
      <c r="B28" s="7" t="s">
        <v>63</v>
      </c>
      <c r="C28" s="8">
        <v>495</v>
      </c>
      <c r="D28" s="9">
        <v>0</v>
      </c>
      <c r="E28" s="8">
        <v>35</v>
      </c>
      <c r="F28" s="10" t="s">
        <v>14</v>
      </c>
      <c r="G28" s="10"/>
      <c r="H28" s="10"/>
      <c r="I28" s="10"/>
      <c r="J28" s="10"/>
      <c r="K28" s="7" t="s">
        <v>64</v>
      </c>
    </row>
    <row r="29" spans="1:11" ht="18" customHeight="1" x14ac:dyDescent="0.2">
      <c r="A29" s="11">
        <v>27</v>
      </c>
      <c r="B29" s="12" t="s">
        <v>65</v>
      </c>
      <c r="C29" s="13">
        <v>495</v>
      </c>
      <c r="D29" s="14">
        <v>25</v>
      </c>
      <c r="E29" s="13">
        <v>5</v>
      </c>
      <c r="F29" s="15"/>
      <c r="G29" s="15" t="s">
        <v>14</v>
      </c>
      <c r="H29" s="15"/>
      <c r="I29" s="15"/>
      <c r="J29" s="15"/>
      <c r="K29" s="12" t="s">
        <v>66</v>
      </c>
    </row>
    <row r="30" spans="1:11" ht="33" customHeight="1" x14ac:dyDescent="0.2">
      <c r="A30" s="6">
        <v>28</v>
      </c>
      <c r="B30" s="7" t="s">
        <v>67</v>
      </c>
      <c r="C30" s="8">
        <v>495</v>
      </c>
      <c r="D30" s="9">
        <v>0</v>
      </c>
      <c r="E30" s="8">
        <v>4320</v>
      </c>
      <c r="F30" s="10"/>
      <c r="G30" s="10"/>
      <c r="H30" s="10"/>
      <c r="I30" s="10"/>
      <c r="J30" s="10" t="s">
        <v>14</v>
      </c>
      <c r="K30" s="7" t="s">
        <v>68</v>
      </c>
    </row>
    <row r="32" spans="1:11" x14ac:dyDescent="0.2">
      <c r="B32" s="18" t="s">
        <v>69</v>
      </c>
      <c r="D32" s="19">
        <f>SUM(D3:D30)</f>
        <v>84</v>
      </c>
      <c r="E32" s="20">
        <f>SUM(E3:E30)</f>
        <v>5672</v>
      </c>
      <c r="F32" s="19">
        <f>COUNTA(F3:F30)</f>
        <v>14</v>
      </c>
      <c r="G32" s="19">
        <f>COUNTA(G3:G30)</f>
        <v>5</v>
      </c>
      <c r="H32" s="19">
        <f>COUNTA(H3:H30)</f>
        <v>2</v>
      </c>
      <c r="I32" s="19">
        <f>COUNTA(I3:I30)</f>
        <v>5</v>
      </c>
      <c r="J32" s="19">
        <f>COUNTA(J3:J30)</f>
        <v>2</v>
      </c>
      <c r="K32" s="21" t="s">
        <v>70</v>
      </c>
    </row>
    <row r="34" spans="1:11" ht="111.75" customHeight="1" x14ac:dyDescent="0.2">
      <c r="A34" s="2" t="s">
        <v>95</v>
      </c>
      <c r="B34" s="2"/>
      <c r="C34" s="2"/>
      <c r="D34" s="2"/>
      <c r="E34" s="2"/>
      <c r="F34" s="2"/>
      <c r="G34" s="2"/>
      <c r="H34" s="2"/>
      <c r="I34" s="2"/>
      <c r="J34" s="2"/>
      <c r="K34" s="2"/>
    </row>
    <row r="36" spans="1:11" ht="39.75" customHeight="1" x14ac:dyDescent="0.2">
      <c r="A36" s="1"/>
      <c r="B36" s="1"/>
      <c r="C36" s="1"/>
      <c r="D36" s="1"/>
      <c r="E36" s="1"/>
      <c r="F36" s="1"/>
      <c r="G36" s="1"/>
      <c r="H36" s="1"/>
      <c r="I36" s="1"/>
      <c r="J36" s="1"/>
      <c r="K36" s="1"/>
    </row>
  </sheetData>
  <mergeCells count="3">
    <mergeCell ref="A1:K1"/>
    <mergeCell ref="A34:K34"/>
    <mergeCell ref="A36:K36"/>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6A5FA"/>
    <pageSetUpPr fitToPage="1"/>
  </sheetPr>
  <dimension ref="A1:K39"/>
  <sheetViews>
    <sheetView showGridLines="0" zoomScale="112" zoomScaleNormal="264" workbookViewId="0">
      <pane xSplit="2" ySplit="2" topLeftCell="C23" activePane="bottomRight" state="frozen"/>
      <selection activeCell="A35" sqref="A35"/>
      <selection pane="topRight" activeCell="A35" sqref="A35"/>
      <selection pane="bottomLeft" activeCell="A35" sqref="A35"/>
      <selection pane="bottomRight" activeCell="A35" sqref="A35"/>
    </sheetView>
  </sheetViews>
  <sheetFormatPr baseColWidth="10" defaultColWidth="8.83203125" defaultRowHeight="15" x14ac:dyDescent="0.2"/>
  <cols>
    <col min="1" max="1" width="6" customWidth="1"/>
    <col min="2" max="2" width="46" customWidth="1"/>
    <col min="3" max="5" width="13" customWidth="1"/>
    <col min="6" max="10" width="5" customWidth="1"/>
    <col min="11" max="11" width="86" customWidth="1"/>
  </cols>
  <sheetData>
    <row r="1" spans="1:11" ht="27.75" customHeight="1" x14ac:dyDescent="0.2">
      <c r="A1" s="3" t="s">
        <v>96</v>
      </c>
      <c r="B1" s="3"/>
      <c r="C1" s="3"/>
      <c r="D1" s="3"/>
      <c r="E1" s="3"/>
      <c r="F1" s="3"/>
      <c r="G1" s="3"/>
      <c r="H1" s="3"/>
      <c r="I1" s="3"/>
      <c r="J1" s="3"/>
      <c r="K1" s="3"/>
    </row>
    <row r="2" spans="1:11" ht="31.5" customHeight="1" x14ac:dyDescent="0.2">
      <c r="A2" s="4" t="s">
        <v>2</v>
      </c>
      <c r="B2" s="4" t="s">
        <v>3</v>
      </c>
      <c r="C2" s="4" t="s">
        <v>4</v>
      </c>
      <c r="D2" s="4" t="s">
        <v>5</v>
      </c>
      <c r="E2" s="4" t="s">
        <v>6</v>
      </c>
      <c r="F2" s="5" t="s">
        <v>7</v>
      </c>
      <c r="G2" s="5" t="s">
        <v>8</v>
      </c>
      <c r="H2" s="5" t="s">
        <v>9</v>
      </c>
      <c r="I2" s="5" t="s">
        <v>10</v>
      </c>
      <c r="J2" s="5" t="s">
        <v>11</v>
      </c>
      <c r="K2" s="4" t="s">
        <v>12</v>
      </c>
    </row>
    <row r="3" spans="1:11" ht="33" customHeight="1" x14ac:dyDescent="0.2">
      <c r="A3" s="6">
        <v>1</v>
      </c>
      <c r="B3" s="7" t="s">
        <v>13</v>
      </c>
      <c r="C3" s="8">
        <v>4500</v>
      </c>
      <c r="D3" s="9">
        <v>0</v>
      </c>
      <c r="E3" s="8">
        <v>30</v>
      </c>
      <c r="F3" s="10" t="s">
        <v>14</v>
      </c>
      <c r="G3" s="10"/>
      <c r="H3" s="10"/>
      <c r="I3" s="10"/>
      <c r="J3" s="10"/>
      <c r="K3" s="7" t="s">
        <v>15</v>
      </c>
    </row>
    <row r="4" spans="1:11" ht="33" customHeight="1" x14ac:dyDescent="0.2">
      <c r="A4" s="11">
        <v>2</v>
      </c>
      <c r="B4" s="12" t="s">
        <v>16</v>
      </c>
      <c r="C4" s="13">
        <v>4500</v>
      </c>
      <c r="D4" s="14">
        <v>0</v>
      </c>
      <c r="E4" s="13">
        <v>20</v>
      </c>
      <c r="F4" s="15"/>
      <c r="G4" s="15"/>
      <c r="H4" s="15"/>
      <c r="I4" s="15" t="s">
        <v>14</v>
      </c>
      <c r="J4" s="15"/>
      <c r="K4" s="12" t="s">
        <v>17</v>
      </c>
    </row>
    <row r="5" spans="1:11" ht="33" customHeight="1" x14ac:dyDescent="0.2">
      <c r="A5" s="6">
        <v>3</v>
      </c>
      <c r="B5" s="16" t="s">
        <v>18</v>
      </c>
      <c r="C5" s="8">
        <v>4500</v>
      </c>
      <c r="D5" s="9">
        <v>0</v>
      </c>
      <c r="E5" s="17">
        <v>710</v>
      </c>
      <c r="F5" s="10"/>
      <c r="G5" s="10"/>
      <c r="H5" s="10"/>
      <c r="I5" s="10"/>
      <c r="J5" s="10" t="s">
        <v>14</v>
      </c>
      <c r="K5" s="16" t="s">
        <v>19</v>
      </c>
    </row>
    <row r="6" spans="1:11" ht="33" customHeight="1" x14ac:dyDescent="0.2">
      <c r="A6" s="11">
        <v>4</v>
      </c>
      <c r="B6" s="12" t="s">
        <v>20</v>
      </c>
      <c r="C6" s="13">
        <v>4500</v>
      </c>
      <c r="D6" s="14">
        <v>25</v>
      </c>
      <c r="E6" s="13">
        <v>5</v>
      </c>
      <c r="F6" s="15"/>
      <c r="G6" s="15" t="s">
        <v>14</v>
      </c>
      <c r="H6" s="15"/>
      <c r="I6" s="15"/>
      <c r="J6" s="15"/>
      <c r="K6" s="12" t="s">
        <v>21</v>
      </c>
    </row>
    <row r="7" spans="1:11" ht="33" customHeight="1" x14ac:dyDescent="0.2">
      <c r="A7" s="6">
        <v>5</v>
      </c>
      <c r="B7" s="16" t="s">
        <v>22</v>
      </c>
      <c r="C7" s="8">
        <v>4500</v>
      </c>
      <c r="D7" s="9">
        <v>0</v>
      </c>
      <c r="E7" s="17">
        <v>10</v>
      </c>
      <c r="F7" s="10" t="s">
        <v>14</v>
      </c>
      <c r="G7" s="10"/>
      <c r="H7" s="10"/>
      <c r="I7" s="10"/>
      <c r="J7" s="10"/>
      <c r="K7" s="16" t="s">
        <v>23</v>
      </c>
    </row>
    <row r="8" spans="1:11" ht="33" customHeight="1" x14ac:dyDescent="0.2">
      <c r="A8" s="11">
        <v>6</v>
      </c>
      <c r="B8" s="12" t="s">
        <v>24</v>
      </c>
      <c r="C8" s="13">
        <v>4500</v>
      </c>
      <c r="D8" s="14">
        <v>0</v>
      </c>
      <c r="E8" s="13">
        <v>54</v>
      </c>
      <c r="F8" s="15" t="s">
        <v>14</v>
      </c>
      <c r="G8" s="15"/>
      <c r="H8" s="15"/>
      <c r="I8" s="15"/>
      <c r="J8" s="15"/>
      <c r="K8" s="12" t="s">
        <v>25</v>
      </c>
    </row>
    <row r="9" spans="1:11" ht="18" customHeight="1" x14ac:dyDescent="0.2">
      <c r="A9" s="6">
        <v>7</v>
      </c>
      <c r="B9" s="7" t="s">
        <v>26</v>
      </c>
      <c r="C9" s="8">
        <v>4500</v>
      </c>
      <c r="D9" s="9">
        <v>12</v>
      </c>
      <c r="E9" s="8">
        <v>3</v>
      </c>
      <c r="F9" s="10"/>
      <c r="G9" s="10" t="s">
        <v>14</v>
      </c>
      <c r="H9" s="10"/>
      <c r="I9" s="10"/>
      <c r="J9" s="10"/>
      <c r="K9" s="7" t="s">
        <v>27</v>
      </c>
    </row>
    <row r="10" spans="1:11" ht="33" customHeight="1" x14ac:dyDescent="0.2">
      <c r="A10" s="11">
        <v>8</v>
      </c>
      <c r="B10" s="12" t="s">
        <v>28</v>
      </c>
      <c r="C10" s="13">
        <v>4500</v>
      </c>
      <c r="D10" s="14">
        <v>0</v>
      </c>
      <c r="E10" s="13">
        <v>30</v>
      </c>
      <c r="F10" s="15" t="s">
        <v>14</v>
      </c>
      <c r="G10" s="15"/>
      <c r="H10" s="15"/>
      <c r="I10" s="15"/>
      <c r="J10" s="15"/>
      <c r="K10" s="12" t="s">
        <v>29</v>
      </c>
    </row>
    <row r="11" spans="1:11" ht="33" customHeight="1" x14ac:dyDescent="0.2">
      <c r="A11" s="6">
        <v>9</v>
      </c>
      <c r="B11" s="7" t="s">
        <v>30</v>
      </c>
      <c r="C11" s="8">
        <v>4500</v>
      </c>
      <c r="D11" s="9">
        <v>0</v>
      </c>
      <c r="E11" s="8">
        <v>30</v>
      </c>
      <c r="F11" s="10" t="s">
        <v>14</v>
      </c>
      <c r="G11" s="10"/>
      <c r="H11" s="10"/>
      <c r="I11" s="10"/>
      <c r="J11" s="10"/>
      <c r="K11" s="7" t="s">
        <v>97</v>
      </c>
    </row>
    <row r="12" spans="1:11" ht="18" customHeight="1" x14ac:dyDescent="0.2">
      <c r="A12" s="11">
        <v>10</v>
      </c>
      <c r="B12" s="12" t="s">
        <v>32</v>
      </c>
      <c r="C12" s="13">
        <v>4500</v>
      </c>
      <c r="D12" s="14">
        <v>0</v>
      </c>
      <c r="E12" s="13">
        <v>5</v>
      </c>
      <c r="F12" s="15"/>
      <c r="G12" s="15"/>
      <c r="H12" s="15"/>
      <c r="I12" s="15" t="s">
        <v>14</v>
      </c>
      <c r="J12" s="15"/>
      <c r="K12" s="12" t="s">
        <v>33</v>
      </c>
    </row>
    <row r="13" spans="1:11" ht="18" customHeight="1" x14ac:dyDescent="0.2">
      <c r="A13" s="6">
        <v>11</v>
      </c>
      <c r="B13" s="7" t="s">
        <v>34</v>
      </c>
      <c r="C13" s="8">
        <v>4500</v>
      </c>
      <c r="D13" s="9">
        <v>0</v>
      </c>
      <c r="E13" s="8">
        <v>15</v>
      </c>
      <c r="F13" s="10" t="s">
        <v>14</v>
      </c>
      <c r="G13" s="10"/>
      <c r="H13" s="10"/>
      <c r="I13" s="10"/>
      <c r="J13" s="10"/>
      <c r="K13" s="7" t="s">
        <v>35</v>
      </c>
    </row>
    <row r="14" spans="1:11" ht="33" customHeight="1" x14ac:dyDescent="0.2">
      <c r="A14" s="11">
        <v>12</v>
      </c>
      <c r="B14" s="12" t="s">
        <v>98</v>
      </c>
      <c r="C14" s="13">
        <v>4500</v>
      </c>
      <c r="D14" s="14">
        <v>0</v>
      </c>
      <c r="E14" s="13">
        <v>40</v>
      </c>
      <c r="F14" s="15" t="s">
        <v>14</v>
      </c>
      <c r="G14" s="15"/>
      <c r="H14" s="15"/>
      <c r="I14" s="15"/>
      <c r="J14" s="15"/>
      <c r="K14" s="12" t="s">
        <v>99</v>
      </c>
    </row>
    <row r="15" spans="1:11" ht="33" customHeight="1" x14ac:dyDescent="0.2">
      <c r="A15" s="6">
        <v>13</v>
      </c>
      <c r="B15" s="7" t="s">
        <v>38</v>
      </c>
      <c r="C15" s="8">
        <v>4500</v>
      </c>
      <c r="D15" s="9">
        <v>0</v>
      </c>
      <c r="E15" s="8">
        <v>30</v>
      </c>
      <c r="F15" s="10" t="s">
        <v>14</v>
      </c>
      <c r="G15" s="10"/>
      <c r="H15" s="10"/>
      <c r="I15" s="10"/>
      <c r="J15" s="10"/>
      <c r="K15" s="7" t="s">
        <v>76</v>
      </c>
    </row>
    <row r="16" spans="1:11" ht="33" customHeight="1" x14ac:dyDescent="0.2">
      <c r="A16" s="11">
        <v>14</v>
      </c>
      <c r="B16" s="16" t="s">
        <v>100</v>
      </c>
      <c r="C16" s="13">
        <v>585</v>
      </c>
      <c r="D16" s="14">
        <v>0</v>
      </c>
      <c r="E16" s="17">
        <v>6</v>
      </c>
      <c r="F16" s="15" t="s">
        <v>14</v>
      </c>
      <c r="G16" s="15"/>
      <c r="H16" s="15"/>
      <c r="I16" s="15"/>
      <c r="J16" s="15"/>
      <c r="K16" s="16" t="s">
        <v>101</v>
      </c>
    </row>
    <row r="17" spans="1:11" ht="33" customHeight="1" x14ac:dyDescent="0.2">
      <c r="A17" s="6">
        <v>15</v>
      </c>
      <c r="B17" s="16" t="s">
        <v>102</v>
      </c>
      <c r="C17" s="8">
        <v>585</v>
      </c>
      <c r="D17" s="9">
        <v>10</v>
      </c>
      <c r="E17" s="17">
        <v>4</v>
      </c>
      <c r="F17" s="10"/>
      <c r="G17" s="10" t="s">
        <v>14</v>
      </c>
      <c r="H17" s="10"/>
      <c r="I17" s="10"/>
      <c r="J17" s="10"/>
      <c r="K17" s="16" t="s">
        <v>103</v>
      </c>
    </row>
    <row r="18" spans="1:11" ht="18" customHeight="1" x14ac:dyDescent="0.2">
      <c r="A18" s="11">
        <v>16</v>
      </c>
      <c r="B18" s="12" t="s">
        <v>0</v>
      </c>
      <c r="C18" s="13">
        <v>585</v>
      </c>
      <c r="D18" s="14">
        <v>0</v>
      </c>
      <c r="E18" s="13">
        <v>25</v>
      </c>
      <c r="F18" s="15" t="s">
        <v>14</v>
      </c>
      <c r="G18" s="15"/>
      <c r="H18" s="15"/>
      <c r="I18" s="15"/>
      <c r="J18" s="15"/>
      <c r="K18" s="12" t="s">
        <v>104</v>
      </c>
    </row>
    <row r="19" spans="1:11" ht="18" customHeight="1" x14ac:dyDescent="0.2">
      <c r="A19" s="6">
        <v>17</v>
      </c>
      <c r="B19" s="7" t="s">
        <v>105</v>
      </c>
      <c r="C19" s="8">
        <v>504</v>
      </c>
      <c r="D19" s="9">
        <v>0</v>
      </c>
      <c r="E19" s="8">
        <v>75</v>
      </c>
      <c r="F19" s="10" t="s">
        <v>14</v>
      </c>
      <c r="G19" s="10"/>
      <c r="H19" s="10"/>
      <c r="I19" s="10"/>
      <c r="J19" s="10"/>
      <c r="K19" s="7" t="s">
        <v>106</v>
      </c>
    </row>
    <row r="20" spans="1:11" ht="18" customHeight="1" x14ac:dyDescent="0.2">
      <c r="A20" s="11">
        <v>18</v>
      </c>
      <c r="B20" s="12" t="s">
        <v>51</v>
      </c>
      <c r="C20" s="13">
        <v>504</v>
      </c>
      <c r="D20" s="14">
        <v>0</v>
      </c>
      <c r="E20" s="13">
        <v>5</v>
      </c>
      <c r="F20" s="15"/>
      <c r="G20" s="15"/>
      <c r="H20" s="15"/>
      <c r="I20" s="15" t="s">
        <v>14</v>
      </c>
      <c r="J20" s="15"/>
      <c r="K20" s="12" t="s">
        <v>52</v>
      </c>
    </row>
    <row r="21" spans="1:11" ht="18" customHeight="1" x14ac:dyDescent="0.2">
      <c r="A21" s="6">
        <v>19</v>
      </c>
      <c r="B21" s="7" t="s">
        <v>107</v>
      </c>
      <c r="C21" s="8">
        <v>504</v>
      </c>
      <c r="D21" s="9">
        <v>15</v>
      </c>
      <c r="E21" s="8">
        <v>15</v>
      </c>
      <c r="F21" s="10"/>
      <c r="G21" s="10" t="s">
        <v>14</v>
      </c>
      <c r="H21" s="10"/>
      <c r="I21" s="10"/>
      <c r="J21" s="10"/>
      <c r="K21" s="7" t="s">
        <v>108</v>
      </c>
    </row>
    <row r="22" spans="1:11" ht="33" customHeight="1" x14ac:dyDescent="0.2">
      <c r="A22" s="11">
        <v>20</v>
      </c>
      <c r="B22" s="12" t="s">
        <v>109</v>
      </c>
      <c r="C22" s="13">
        <v>486</v>
      </c>
      <c r="D22" s="14">
        <v>0</v>
      </c>
      <c r="E22" s="13">
        <v>2160</v>
      </c>
      <c r="F22" s="15" t="s">
        <v>14</v>
      </c>
      <c r="G22" s="15"/>
      <c r="H22" s="15"/>
      <c r="I22" s="15"/>
      <c r="J22" s="15"/>
      <c r="K22" s="12" t="s">
        <v>110</v>
      </c>
    </row>
    <row r="23" spans="1:11" ht="18" customHeight="1" x14ac:dyDescent="0.2">
      <c r="A23" s="6">
        <v>21</v>
      </c>
      <c r="B23" s="7" t="s">
        <v>111</v>
      </c>
      <c r="C23" s="8">
        <v>486</v>
      </c>
      <c r="D23" s="9">
        <v>0</v>
      </c>
      <c r="E23" s="8">
        <v>720</v>
      </c>
      <c r="F23" s="10"/>
      <c r="G23" s="10"/>
      <c r="H23" s="10" t="s">
        <v>14</v>
      </c>
      <c r="I23" s="10"/>
      <c r="J23" s="10"/>
      <c r="K23" s="7" t="s">
        <v>112</v>
      </c>
    </row>
    <row r="24" spans="1:11" ht="18" customHeight="1" x14ac:dyDescent="0.2">
      <c r="A24" s="11">
        <v>22</v>
      </c>
      <c r="B24" s="12" t="s">
        <v>113</v>
      </c>
      <c r="C24" s="13">
        <v>486</v>
      </c>
      <c r="D24" s="14">
        <v>30</v>
      </c>
      <c r="E24" s="13">
        <v>8</v>
      </c>
      <c r="F24" s="15"/>
      <c r="G24" s="15" t="s">
        <v>14</v>
      </c>
      <c r="H24" s="15"/>
      <c r="I24" s="15"/>
      <c r="J24" s="15"/>
      <c r="K24" s="12" t="s">
        <v>114</v>
      </c>
    </row>
    <row r="25" spans="1:11" ht="33" customHeight="1" x14ac:dyDescent="0.2">
      <c r="A25" s="6">
        <v>23</v>
      </c>
      <c r="B25" s="7" t="s">
        <v>115</v>
      </c>
      <c r="C25" s="8">
        <v>486</v>
      </c>
      <c r="D25" s="9">
        <v>0</v>
      </c>
      <c r="E25" s="8">
        <v>216000</v>
      </c>
      <c r="F25" s="10" t="s">
        <v>14</v>
      </c>
      <c r="G25" s="10"/>
      <c r="H25" s="10"/>
      <c r="I25" s="10"/>
      <c r="J25" s="10"/>
      <c r="K25" s="7" t="s">
        <v>116</v>
      </c>
    </row>
    <row r="26" spans="1:11" ht="33" customHeight="1" x14ac:dyDescent="0.2">
      <c r="A26" s="11">
        <v>24</v>
      </c>
      <c r="B26" s="12" t="s">
        <v>117</v>
      </c>
      <c r="C26" s="13">
        <v>450</v>
      </c>
      <c r="D26" s="14">
        <v>0</v>
      </c>
      <c r="E26" s="13">
        <v>30</v>
      </c>
      <c r="F26" s="15"/>
      <c r="G26" s="15"/>
      <c r="H26" s="15"/>
      <c r="I26" s="15" t="s">
        <v>14</v>
      </c>
      <c r="J26" s="15"/>
      <c r="K26" s="12" t="s">
        <v>118</v>
      </c>
    </row>
    <row r="27" spans="1:11" ht="33" customHeight="1" x14ac:dyDescent="0.2">
      <c r="A27" s="11">
        <v>25</v>
      </c>
      <c r="B27" s="12" t="s">
        <v>119</v>
      </c>
      <c r="C27" s="13">
        <v>450</v>
      </c>
      <c r="D27" s="14">
        <v>0</v>
      </c>
      <c r="E27" s="13">
        <v>150</v>
      </c>
      <c r="F27" s="15" t="s">
        <v>14</v>
      </c>
      <c r="G27" s="15"/>
      <c r="H27" s="15"/>
      <c r="I27" s="15"/>
      <c r="J27" s="15"/>
      <c r="K27" s="12" t="s">
        <v>120</v>
      </c>
    </row>
    <row r="28" spans="1:11" ht="18" customHeight="1" x14ac:dyDescent="0.2">
      <c r="A28" s="6">
        <v>26</v>
      </c>
      <c r="B28" s="7" t="s">
        <v>57</v>
      </c>
      <c r="C28" s="8">
        <v>450</v>
      </c>
      <c r="D28" s="9">
        <v>30</v>
      </c>
      <c r="E28" s="8">
        <v>6</v>
      </c>
      <c r="F28" s="10"/>
      <c r="G28" s="10" t="s">
        <v>14</v>
      </c>
      <c r="H28" s="10"/>
      <c r="I28" s="10"/>
      <c r="J28" s="10"/>
      <c r="K28" s="7" t="s">
        <v>58</v>
      </c>
    </row>
    <row r="29" spans="1:11" ht="33" customHeight="1" x14ac:dyDescent="0.2">
      <c r="A29" s="11">
        <v>27</v>
      </c>
      <c r="B29" s="12" t="s">
        <v>121</v>
      </c>
      <c r="C29" s="13">
        <v>450</v>
      </c>
      <c r="D29" s="14">
        <v>0</v>
      </c>
      <c r="E29" s="13">
        <v>333</v>
      </c>
      <c r="F29" s="15" t="s">
        <v>14</v>
      </c>
      <c r="G29" s="15"/>
      <c r="H29" s="15"/>
      <c r="I29" s="15"/>
      <c r="J29" s="15"/>
      <c r="K29" s="12" t="s">
        <v>122</v>
      </c>
    </row>
    <row r="30" spans="1:11" ht="18" customHeight="1" x14ac:dyDescent="0.2">
      <c r="A30" s="11">
        <v>28</v>
      </c>
      <c r="B30" s="12" t="s">
        <v>61</v>
      </c>
      <c r="C30" s="13">
        <v>450</v>
      </c>
      <c r="D30" s="14">
        <v>0</v>
      </c>
      <c r="E30" s="13">
        <v>10</v>
      </c>
      <c r="F30" s="15"/>
      <c r="G30" s="15"/>
      <c r="H30" s="15"/>
      <c r="I30" s="15" t="s">
        <v>14</v>
      </c>
      <c r="J30" s="15"/>
      <c r="K30" s="12" t="s">
        <v>62</v>
      </c>
    </row>
    <row r="31" spans="1:11" ht="18" customHeight="1" x14ac:dyDescent="0.2">
      <c r="A31" s="6">
        <v>29</v>
      </c>
      <c r="B31" s="7" t="s">
        <v>63</v>
      </c>
      <c r="C31" s="8">
        <v>450</v>
      </c>
      <c r="D31" s="9">
        <v>0</v>
      </c>
      <c r="E31" s="8">
        <v>30</v>
      </c>
      <c r="F31" s="10" t="s">
        <v>14</v>
      </c>
      <c r="G31" s="10"/>
      <c r="H31" s="10"/>
      <c r="I31" s="10"/>
      <c r="J31" s="10"/>
      <c r="K31" s="7" t="s">
        <v>64</v>
      </c>
    </row>
    <row r="32" spans="1:11" ht="18" customHeight="1" x14ac:dyDescent="0.2">
      <c r="A32" s="11">
        <v>30</v>
      </c>
      <c r="B32" s="12" t="s">
        <v>65</v>
      </c>
      <c r="C32" s="13">
        <v>450</v>
      </c>
      <c r="D32" s="14">
        <v>25</v>
      </c>
      <c r="E32" s="13">
        <v>5</v>
      </c>
      <c r="F32" s="15"/>
      <c r="G32" s="15" t="s">
        <v>14</v>
      </c>
      <c r="H32" s="15"/>
      <c r="I32" s="15"/>
      <c r="J32" s="15"/>
      <c r="K32" s="12" t="s">
        <v>66</v>
      </c>
    </row>
    <row r="33" spans="1:11" ht="33" customHeight="1" x14ac:dyDescent="0.2">
      <c r="A33" s="6">
        <v>31</v>
      </c>
      <c r="B33" s="7" t="s">
        <v>67</v>
      </c>
      <c r="C33" s="8">
        <v>450</v>
      </c>
      <c r="D33" s="9">
        <v>0</v>
      </c>
      <c r="E33" s="8">
        <v>7200</v>
      </c>
      <c r="F33" s="10"/>
      <c r="G33" s="10"/>
      <c r="H33" s="10"/>
      <c r="I33" s="10"/>
      <c r="J33" s="10" t="s">
        <v>14</v>
      </c>
      <c r="K33" s="7" t="s">
        <v>123</v>
      </c>
    </row>
    <row r="35" spans="1:11" x14ac:dyDescent="0.2">
      <c r="B35" s="18" t="s">
        <v>69</v>
      </c>
      <c r="D35" s="19">
        <f>SUM(D3:D33)</f>
        <v>147</v>
      </c>
      <c r="E35" s="20">
        <f>SUM(E3:E33)</f>
        <v>227764</v>
      </c>
      <c r="F35" s="19">
        <f>COUNTA(F3:F33)</f>
        <v>16</v>
      </c>
      <c r="G35" s="19">
        <f>COUNTA(G3:G33)</f>
        <v>7</v>
      </c>
      <c r="H35" s="19">
        <f>COUNTA(H3:H33)</f>
        <v>1</v>
      </c>
      <c r="I35" s="19">
        <f>COUNTA(I3:I33)</f>
        <v>5</v>
      </c>
      <c r="J35" s="19">
        <f>COUNTA(J3:J33)</f>
        <v>2</v>
      </c>
      <c r="K35" s="21" t="s">
        <v>70</v>
      </c>
    </row>
    <row r="37" spans="1:11" ht="111.75" customHeight="1" x14ac:dyDescent="0.2">
      <c r="A37" s="2" t="s">
        <v>124</v>
      </c>
      <c r="B37" s="2"/>
      <c r="C37" s="2"/>
      <c r="D37" s="2"/>
      <c r="E37" s="2"/>
      <c r="F37" s="2"/>
      <c r="G37" s="2"/>
      <c r="H37" s="2"/>
      <c r="I37" s="2"/>
      <c r="J37" s="2"/>
      <c r="K37" s="2"/>
    </row>
    <row r="39" spans="1:11" ht="39.75" customHeight="1" x14ac:dyDescent="0.2">
      <c r="A39" s="1"/>
      <c r="B39" s="1"/>
      <c r="C39" s="1"/>
      <c r="D39" s="1"/>
      <c r="E39" s="1"/>
      <c r="F39" s="1"/>
      <c r="G39" s="1"/>
      <c r="H39" s="1"/>
      <c r="I39" s="1"/>
      <c r="J39" s="1"/>
      <c r="K39" s="1"/>
    </row>
  </sheetData>
  <mergeCells count="3">
    <mergeCell ref="A1:K1"/>
    <mergeCell ref="A37:K37"/>
    <mergeCell ref="A39:K39"/>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Campesino</vt:lpstr>
      <vt:lpstr>Mozzarella</vt:lpstr>
      <vt:lpstr>Sopó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Juliana  Gongora Rasmussen</cp:lastModifiedBy>
  <dcterms:created xsi:type="dcterms:W3CDTF">2026-10-13T02:19:39Z</dcterms:created>
  <dcterms:modified xsi:type="dcterms:W3CDTF">2026-10-13T02:19:39Z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2026-10-12T06:49:16Z</dcterms:created>
  <dc:creator>openpyxl</dc:creator>
  <dc:description/>
  <dc:language>en-US</dc:language>
  <cp:lastModifiedBy>Juliana  Gongora Rasmussen</cp:lastModifiedBy>
  <dcterms:modified xsi:type="dcterms:W3CDTF">2026-10-13T02:16:03Z</dcterms:modified>
  <cp:revision>0</cp:revision>
  <dc:subject/>
  <dc:title/>
</cp:coreProperties>
</file>