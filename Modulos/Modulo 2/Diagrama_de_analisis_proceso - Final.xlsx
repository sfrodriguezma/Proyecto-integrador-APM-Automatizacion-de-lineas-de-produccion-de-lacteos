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ampesino" sheetId="1" state="visible" r:id="rId3"/>
    <sheet name="Mozzarella" sheetId="2" state="visible" r:id="rId4"/>
    <sheet name="Sopó"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<sst xmlns="http://schemas.openxmlformats.org/spreadsheetml/2006/main" count="303" uniqueCount="123">
  <si>
    <t xml:space="preserve">Análisis de proceso Queso Campesino cuña 250 g – lote de 4.500 kg de leche</t>
  </si>
  <si>
    <t xml:space="preserve">No. Oper.</t>
  </si>
  <si>
    <t xml:space="preserve">Elemento</t>
  </si>
  <si>
    <t xml:space="preserve">Cantidad (kg)</t>
  </si>
  <si>
    <t xml:space="preserve">Distancia (m)</t>
  </si>
  <si>
    <t xml:space="preserve">Tiempo (min)</t>
  </si>
  <si>
    <t xml:space="preserve">○</t>
  </si>
  <si>
    <t xml:space="preserve">→</t>
  </si>
  <si>
    <t xml:space="preserve">D</t>
  </si>
  <si>
    <t xml:space="preserve">□</t>
  </si>
  <si>
    <t xml:space="preserve">▽</t>
  </si>
  <si>
    <t xml:space="preserve">Observaciones (equipos y máquinas)</t>
  </si>
  <si>
    <t xml:space="preserve">Recepción de leche en cisterna</t>
  </si>
  <si>
    <t xml:space="preserve">●</t>
  </si>
  <si>
    <t xml:space="preserve">Tanque de recepción (Q-EQ-001), bomba y medidor de volumen. Equipo compartido de planta.</t>
  </si>
  <si>
    <t xml:space="preserve">Control de recepción (temperatura, acidez, antibióticos)</t>
  </si>
  <si>
    <t xml:space="preserve">Laboratorio: se mide temperatura, acidez y antibióticos. Si no cumple, se rechaza la leche.</t>
  </si>
  <si>
    <t xml:space="preserve">Almacenamiento refrigerado de leche ≤ 4 °C</t>
  </si>
  <si>
    <t xml:space="preserve">Tanque refrigerado de leche (Q-EQ-002). Espera promedio de 12 h a 4 °C o menos.</t>
  </si>
  <si>
    <t xml:space="preserve">Transporte de leche a preparación (tubería)</t>
  </si>
  <si>
    <t xml:space="preserve">Bomba sanitaria y tubería de acero inoxidable.</t>
  </si>
  <si>
    <t xml:space="preserve">Preparación y estandarización de la leche</t>
  </si>
  <si>
    <t xml:space="preserve">Tanque con agitador (Q-EQ-003). Se hace mientras se llena la tina; su tiempo va incluido en el tratamiento térmico.</t>
  </si>
  <si>
    <t xml:space="preserve">Tratamiento térmico 72–73 °C × 15–20 s (HTST)</t>
  </si>
  <si>
    <t xml:space="preserve">Pasteurizador de placas (Q-EQ-004): 4.500 kg a 5.000 kg/h toman 54 min.</t>
  </si>
  <si>
    <t xml:space="preserve">Transporte a la tina de elaboración</t>
  </si>
  <si>
    <t xml:space="preserve">Tubería sanitaria y válvula de alimentación.</t>
  </si>
  <si>
    <t xml:space="preserve">Inoculación con cultivo láctico</t>
  </si>
  <si>
    <t xml:space="preserve">Tina de elaboración (Q-EQ-005) y dosificador de cultivo. Incluye el reposo y el cloruro de calcio.</t>
  </si>
  <si>
    <t xml:space="preserve">Coagulación con cuajo a 33 °C</t>
  </si>
  <si>
    <t xml:space="preserve">Tina de elaboración (Q-EQ-005) con control de temperatura y pH. Del cuajo al vaciado de la tina pasan 90 min.</t>
  </si>
  <si>
    <t xml:space="preserve">Inspección de firmeza y pH de la cuajada</t>
  </si>
  <si>
    <t xml:space="preserve">Medidor de pH y prueba de corte manual.</t>
  </si>
  <si>
    <t xml:space="preserve">Corte de la cuajada</t>
  </si>
  <si>
    <t xml:space="preserve">Liras de corte (Q-EQ-006).</t>
  </si>
  <si>
    <t xml:space="preserve">Agitación y cocción de la cuajada a 39–40 °C</t>
  </si>
  <si>
    <t xml:space="preserve">Tina de tratamiento (Q-EQ-007) con agitador. Cocción de 10–15 min a 39–40 °C.</t>
  </si>
  <si>
    <t xml:space="preserve">Desuerado</t>
  </si>
  <si>
    <t xml:space="preserve">Sistema de desuerado (Q-EQ-008). Salen ≈ 3.870 kg de suero por lote, que se puede aprovechar.</t>
  </si>
  <si>
    <t xml:space="preserve">Reposo de la cuajada antes del moldeo</t>
  </si>
  <si>
    <t xml:space="preserve">La cuajada espera en la tina antes del moldeo (10 min en total, con el transporte).</t>
  </si>
  <si>
    <t xml:space="preserve">Transporte de la cuajada a mesa de moldeo</t>
  </si>
  <si>
    <t xml:space="preserve">Carro de acero inoxidable, manual.</t>
  </si>
  <si>
    <t xml:space="preserve">Salado en masa sobre la cuajada desuerada</t>
  </si>
  <si>
    <t xml:space="preserve">Sistema de salado (Q-EQ-010): 1,5–1,8 % de sal, es decir, 8,1–9,7 kg por lote.</t>
  </si>
  <si>
    <t xml:space="preserve">Espera antes del moldeo y prensado</t>
  </si>
  <si>
    <t xml:space="preserve">Espera de 15 min antes de la prensa (Q-TMP-024 de las 12 capas).</t>
  </si>
  <si>
    <t xml:space="preserve">Moldeado</t>
  </si>
  <si>
    <t xml:space="preserve">Moldes y mesa de moldeo (Q-EQ-011), manual. Moldeado y prensado suman 60 min.</t>
  </si>
  <si>
    <t xml:space="preserve">Prensado ligero</t>
  </si>
  <si>
    <t xml:space="preserve">Prensa (Q-EQ-012) con sensor de presión. Moldeado y prensado suman 60 min.</t>
  </si>
  <si>
    <t xml:space="preserve">Inspección de peso y forma</t>
  </si>
  <si>
    <t xml:space="preserve">Báscula y galga de forma; se revisa por molde.</t>
  </si>
  <si>
    <t xml:space="preserve">Transporte a cámara de enfriamiento</t>
  </si>
  <si>
    <t xml:space="preserve">Carro o montacargas.</t>
  </si>
  <si>
    <t xml:space="preserve">Enfriamiento y acondicionamiento en refrigeración (≈ 12 h)</t>
  </si>
  <si>
    <t xml:space="preserve">Cámara de enfriamiento (Q-EQ-015): ≈ 12 h en refrigeración a 4 °C.</t>
  </si>
  <si>
    <t xml:space="preserve">Transporte a termoformadora</t>
  </si>
  <si>
    <t xml:space="preserve">Banda transportadora o carro.</t>
  </si>
  <si>
    <t xml:space="preserve">Envasado y etiquetado de cuñas de 250 g (termoformadora)</t>
  </si>
  <si>
    <t xml:space="preserve">Termoformadora (Q-EQ-016) con etiquetadora y codificador de lote y fecha en línea: 2.160 cuñas a 600 por hora.</t>
  </si>
  <si>
    <t xml:space="preserve">Inspección de peso, sello y etiqueta</t>
  </si>
  <si>
    <t xml:space="preserve">Báscula dinámica.</t>
  </si>
  <si>
    <t xml:space="preserve">Paletizado</t>
  </si>
  <si>
    <t xml:space="preserve">Manual en estibas.</t>
  </si>
  <si>
    <t xml:space="preserve">Transporte a cámara de producto terminado</t>
  </si>
  <si>
    <t xml:space="preserve">Montacargas y estibas.</t>
  </si>
  <si>
    <t xml:space="preserve">Almacenamiento refrigerado de producto terminado</t>
  </si>
  <si>
    <t xml:space="preserve">Cámara fría de producto terminado (Q-EQ-017), de 2 a 4 °C. Espera de 3 días hasta liberar el lote.</t>
  </si>
  <si>
    <t xml:space="preserve">TOTAL</t>
  </si>
  <si>
    <t xml:space="preserve">Cantidad de operaciones por símbolo; tiempo y distancia totales del lote</t>
  </si>
  <si>
    <t xml:space="preserve">CONCLUSIÓN – CUELLOS DE BOTELLA. En el queso campesino, la etapa más larga es el enfriamiento y acondicionamiento en frío: ocupa más de la mitad del tiempo de proceso del lote (sin contar almacenamientos) y requiere bastante espacio refrigerado, aunque no inmoviliza equipos de proceso. Después vienen el empaque y la tina de elaboración, que trabajan con poca holgura. Como el campesino es el producto de mayor volumen del día, una parada en cualquiera de estos puntos retrasa toda la línea. Estos valores son supuestos y cálculos del modelo, y deben validarse en planta.</t>
  </si>
  <si>
    <t xml:space="preserve">Análisis de proceso Queso Mozzarella bloque 250 g – lote de 4.500 kg de leche</t>
  </si>
  <si>
    <t xml:space="preserve">Coagulación con cuajo a 35 °C</t>
  </si>
  <si>
    <t xml:space="preserve">Agitación de la cuajada</t>
  </si>
  <si>
    <t xml:space="preserve">Tina de tratamiento (Q-EQ-007) con agitador.</t>
  </si>
  <si>
    <t xml:space="preserve">Sistema de desuerado (Q-EQ-008). Salen ≈ 3.920 kg de suero por lote, que se puede aprovechar.</t>
  </si>
  <si>
    <t xml:space="preserve">Acidificación de la cuajada hasta pH ≈ 5,2</t>
  </si>
  <si>
    <t xml:space="preserve">Equipo de tratamiento de cuajada (Q-EQ-009) con medidor de pH. Espera con control de pH hasta llegar a ≈ 5,2; dura ≈ 90 min.</t>
  </si>
  <si>
    <t xml:space="preserve">Inspección de pH de la cuajada</t>
  </si>
  <si>
    <t xml:space="preserve">Medidor de pH.</t>
  </si>
  <si>
    <t xml:space="preserve">Transporte de la cuajada a la hiladora</t>
  </si>
  <si>
    <t xml:space="preserve">Estirado / hilado en agua a 65–70 °C</t>
  </si>
  <si>
    <t xml:space="preserve">Hiladora de pasta filata (Q-EQ-013): ≈ 60 min por lote, con la masa a ≈ 60 °C.</t>
  </si>
  <si>
    <t xml:space="preserve">Moldes y mesa de moldeo (Q-EQ-011).</t>
  </si>
  <si>
    <t xml:space="preserve">Enfriamiento en agua o salmuera fría (núcleo 7–13 °C)</t>
  </si>
  <si>
    <t xml:space="preserve">Enfriamiento (Q-EQ-015): ≈ 75 min hasta que el centro llegue a 7–13 °C.</t>
  </si>
  <si>
    <t xml:space="preserve">Inspección de forma, peso y temperatura</t>
  </si>
  <si>
    <t xml:space="preserve">Báscula y termómetro de pinchazo; se revisa por bloque.</t>
  </si>
  <si>
    <t xml:space="preserve">Espera antes del empaque (enfriamiento → termoformadora)</t>
  </si>
  <si>
    <t xml:space="preserve">El producto espera en frío a la termoformadora (30 min, contando el transporte).</t>
  </si>
  <si>
    <t xml:space="preserve">Envasado y etiquetado de bloques de 250 g (termoformadora)</t>
  </si>
  <si>
    <t xml:space="preserve">Termoformadora (Q-EQ-016) con etiquetadora y codificador de lote y fecha en línea: 1.980 bloques a 720 por hora.</t>
  </si>
  <si>
    <t xml:space="preserve">CONCLUSIÓN – CUELLOS DE BOTELLA. El principal cuello de botella de la mozzarella es la tina de elaboración: la ocupa desde el llenado y la pasteurización hasta el vaciado y la limpieza, y la comparten todos los lotes del día. Por eso, cualquier espera o cambio de producto se siente en toda la línea. El empaque es el segundo punto a vigilar, aunque su empacadora es propia de la mozzarella y trabaja con más holgura (≈ 42 % de las 16 h del turno). Estos valores son supuestos y cálculos del modelo, y deben validarse en planta.</t>
  </si>
  <si>
    <t xml:space="preserve">Análisis de proceso Queso Sopó maduro cuña 180 g – lote de 4.500 kg de leche</t>
  </si>
  <si>
    <t xml:space="preserve">Tina de elaboración (Q-EQ-005) con control de temperatura y pH. Del cuajo al vaciado de la tina pasan 120 min.</t>
  </si>
  <si>
    <t xml:space="preserve">Agitación y cocción de la cuajada a 50–56 °C</t>
  </si>
  <si>
    <t xml:space="preserve">Tina de tratamiento (Q-EQ-007) con agitador. Cocción a 50–56 °C, como en los quesos duros.</t>
  </si>
  <si>
    <t xml:space="preserve">Tratamiento de la cuajada (lavado y acondicionamiento)</t>
  </si>
  <si>
    <t xml:space="preserve">Sistema de tratamiento de cuajada (Q-EQ-009): lavado y acondicionamiento.</t>
  </si>
  <si>
    <t xml:space="preserve">Transporte de la cuajada a moldes</t>
  </si>
  <si>
    <t xml:space="preserve">Carro de acero inoxidable, manual (10 min de la tina al moldeo, con la espera).</t>
  </si>
  <si>
    <t xml:space="preserve">Moldes y mesa de moldeo (Q-EQ-011). Moldeado y prensado suman 100 min.</t>
  </si>
  <si>
    <t xml:space="preserve">Prensado</t>
  </si>
  <si>
    <t xml:space="preserve">Prensa (Q-EQ-012) con sensor de presión. Moldeado y prensado suman 100 min.</t>
  </si>
  <si>
    <t xml:space="preserve">Transporte a la salmuera</t>
  </si>
  <si>
    <t xml:space="preserve">Montacargas y carro de moldes (15 min, con la espera).</t>
  </si>
  <si>
    <t xml:space="preserve">Salado en salmuera 20 °Bé a 10–12 °C</t>
  </si>
  <si>
    <t xml:space="preserve">Tanque de salmuera (Q-EQ-010) con recirculación y enfriamiento: 20 °Bé y 10–12 °C, ≈ 36 h por horma de 4,5 kg.</t>
  </si>
  <si>
    <t xml:space="preserve">Escurrido y secado superficial</t>
  </si>
  <si>
    <t xml:space="preserve">Racks de escurrido en sala refrigerada: oreo de ≈ 12 h antes de la maduración.</t>
  </si>
  <si>
    <t xml:space="preserve">Transporte a cámara de maduración</t>
  </si>
  <si>
    <t xml:space="preserve">Montacargas y racks de maduración.</t>
  </si>
  <si>
    <t xml:space="preserve">Maduración a 9–11 °C y 80–85 % HR, ≈ 150 días (5 meses)</t>
  </si>
  <si>
    <t xml:space="preserve">Cámara de maduración (Q-EQ-014) con control de temperatura y humedad; incluye volteo y cepillado. Cabe ≈ 116 t (≈ 25.700 hormas de 4,5 kg).</t>
  </si>
  <si>
    <t xml:space="preserve">Inspección sensorial y de humedad al salir de maduración</t>
  </si>
  <si>
    <t xml:space="preserve">Laboratorio de calidad: cata y humedad de cada pieza.</t>
  </si>
  <si>
    <t xml:space="preserve">Enfriamiento y acondicionamiento (≈ 150 min)</t>
  </si>
  <si>
    <t xml:space="preserve">Sistema de enfriamiento (Q-EQ-015): ≈ 150 min a la salida de la cámara.</t>
  </si>
  <si>
    <t xml:space="preserve">Envasado y etiquetado de cuñas de 180 g (termoformadora)</t>
  </si>
  <si>
    <t xml:space="preserve">Termoformadora (Q-EQ-016) con etiquetadora y codificador de lote y fecha en línea: 2.500 cuñas a 450 por hora.</t>
  </si>
  <si>
    <t xml:space="preserve">Cámara fría de producto terminado (Q-EQ-017), de 2 a 4 °C. Espera de 5 días hasta liberar el lote.</t>
  </si>
  <si>
    <t xml:space="preserve">CONCLUSIÓN – CUELLOS DE BOTELLA. El principal límite del queso Sopó es la cámara de maduración: como el queso permanece allí cerca de cinco meses, el tamaño de la cámara define cuánto se puede producir cada día. Dentro del tiempo activo del lote, la etapa más lenta es la salmuera, que ocupa casi la mitad de ese tiempo y funciona casi sin holgura. El empaque es el siguiente punto crítico, porque su empacadora, propia del Sopó, es la de menor velocidad de las tres (450 unidades/h) y queda al límite de su tiempo útil (≈ 86 % de las 16 h del turno). Estos valores son supuestos y cálculos del modelo, y deben validarse en planta.</t>
  </si>
</sst>
</file>

<file path=xl/styles.xml><?xml version="1.0" encoding="utf-8"?>
<styleSheet xmlns="http://schemas.openxmlformats.org/spreadsheetml/2006/main">
  <numFmts count="3">
    <numFmt numFmtId="164" formatCode="General"/>
    <numFmt numFmtId="165" formatCode="#,##0"/>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3"/>
      <color rgb="FFFFFFFF"/>
      <name val="Calibri"/>
      <family val="2"/>
      <charset val="1"/>
    </font>
    <font>
      <b val="true"/>
      <sz val="10"/>
      <color rgb="FFFFFFFF"/>
      <name val="Calibri"/>
      <family val="2"/>
      <charset val="1"/>
    </font>
    <font>
      <b val="true"/>
      <sz val="10"/>
      <color rgb="FF4F6070"/>
      <name val="Calibri"/>
      <family val="2"/>
      <charset val="1"/>
    </font>
    <font>
      <sz val="10"/>
      <color rgb="FF1F2933"/>
      <name val="Calibri"/>
      <family val="2"/>
      <charset val="1"/>
    </font>
    <font>
      <sz val="12"/>
      <color rgb="FF06A5FA"/>
      <name val="Calibri"/>
      <family val="2"/>
      <charset val="1"/>
    </font>
    <font>
      <b val="true"/>
      <sz val="10"/>
      <color rgb="FF1F2933"/>
      <name val="Calibri"/>
      <family val="2"/>
      <charset val="1"/>
    </font>
    <font>
      <i val="true"/>
      <sz val="9"/>
      <color rgb="FF555555"/>
      <name val="Calibri"/>
      <family val="2"/>
      <charset val="1"/>
    </font>
    <font>
      <sz val="9"/>
      <color rgb="FF6B7785"/>
      <name val="Calibri"/>
      <family val="2"/>
      <charset val="1"/>
    </font>
    <font>
      <i val="true"/>
      <sz val="9"/>
      <color rgb="FF555555"/>
      <name val="Calibri"/>
      <family val="0"/>
      <charset val="1"/>
    </font>
  </fonts>
  <fills count="7">
    <fill>
      <patternFill patternType="none"/>
    </fill>
    <fill>
      <patternFill patternType="gray125"/>
    </fill>
    <fill>
      <patternFill patternType="solid">
        <fgColor rgb="FF4F6070"/>
        <bgColor rgb="FF555555"/>
      </patternFill>
    </fill>
    <fill>
      <patternFill patternType="solid">
        <fgColor rgb="FF06A5FA"/>
        <bgColor rgb="FF33CCCC"/>
      </patternFill>
    </fill>
    <fill>
      <patternFill patternType="solid">
        <fgColor rgb="FFF3F5F7"/>
        <bgColor rgb="FFE8F4FD"/>
      </patternFill>
    </fill>
    <fill>
      <patternFill patternType="solid">
        <fgColor rgb="FFE8F4FD"/>
        <bgColor rgb="FFF3F5F7"/>
      </patternFill>
    </fill>
    <fill>
      <patternFill patternType="solid">
        <fgColor rgb="FFFEF3E2"/>
        <bgColor rgb="FFF3F5F7"/>
      </patternFill>
    </fill>
  </fills>
  <borders count="2">
    <border diagonalUp="false" diagonalDown="false">
      <left/>
      <right/>
      <top/>
      <bottom/>
      <diagonal/>
    </border>
    <border diagonalUp="false" diagonalDown="false">
      <left style="thin">
        <color rgb="FFC9D1D8"/>
      </left>
      <right style="thin">
        <color rgb="FFC9D1D8"/>
      </right>
      <top style="thin">
        <color rgb="FFC9D1D8"/>
      </top>
      <bottom style="thin">
        <color rgb="FFC9D1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B7785"/>
      <rgbColor rgb="FF9999FF"/>
      <rgbColor rgb="FF993366"/>
      <rgbColor rgb="FFFEF3E2"/>
      <rgbColor rgb="FFE8F4FD"/>
      <rgbColor rgb="FF660066"/>
      <rgbColor rgb="FFFF8080"/>
      <rgbColor rgb="FF0066CC"/>
      <rgbColor rgb="FFC9D1D8"/>
      <rgbColor rgb="FF000080"/>
      <rgbColor rgb="FFFF00FF"/>
      <rgbColor rgb="FFFFFF00"/>
      <rgbColor rgb="FF00FFFF"/>
      <rgbColor rgb="FF800080"/>
      <rgbColor rgb="FF800000"/>
      <rgbColor rgb="FF008080"/>
      <rgbColor rgb="FF0000FF"/>
      <rgbColor rgb="FF06A5FA"/>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4F6070"/>
      <rgbColor rgb="FF969696"/>
      <rgbColor rgb="FF003366"/>
      <rgbColor rgb="FF339966"/>
      <rgbColor rgb="FF003300"/>
      <rgbColor rgb="FF333300"/>
      <rgbColor rgb="FF993300"/>
      <rgbColor rgb="FF993366"/>
      <rgbColor rgb="FF555555"/>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A5FA"/>
    <pageSetUpPr fitToPage="true"/>
  </sheetPr>
  <dimension ref="A1:K37"/>
  <sheetViews>
    <sheetView showFormulas="false" showGridLines="false" showRowColHeaders="true" showZeros="true" rightToLeft="false" tabSelected="true" showOutlineSymbols="true" defaultGridColor="true" view="normal" topLeftCell="A1" colorId="64" zoomScale="150" zoomScaleNormal="15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35" activeCellId="0" sqref="A35"/>
    </sheetView>
  </sheetViews>
  <sheetFormatPr defaultColWidth="8.832031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5" min="3" style="0" width="13"/>
    <col collapsed="false" customWidth="true" hidden="false" outlineLevel="0" max="10" min="6" style="0" width="5"/>
    <col collapsed="false" customWidth="true" hidden="false" outlineLevel="0" max="11" min="11" style="0" width="86"/>
  </cols>
  <sheetData>
    <row r="1" customFormat="false" ht="27.75" hidden="false" customHeight="true" outlineLevel="0" collapsed="false">
      <c r="A1" s="1" t="s">
        <v>0</v>
      </c>
      <c r="B1" s="1"/>
      <c r="C1" s="1"/>
      <c r="D1" s="1"/>
      <c r="E1" s="1"/>
      <c r="F1" s="1"/>
      <c r="G1" s="1"/>
      <c r="H1" s="1"/>
      <c r="I1" s="1"/>
      <c r="J1" s="1"/>
      <c r="K1" s="1"/>
    </row>
    <row r="2" customFormat="false" ht="31.5" hidden="false" customHeight="true" outlineLevel="0" collapsed="false">
      <c r="A2" s="2" t="s">
        <v>1</v>
      </c>
      <c r="B2" s="2" t="s">
        <v>2</v>
      </c>
      <c r="C2" s="2" t="s">
        <v>3</v>
      </c>
      <c r="D2" s="2" t="s">
        <v>4</v>
      </c>
      <c r="E2" s="2" t="s">
        <v>5</v>
      </c>
      <c r="F2" s="3" t="s">
        <v>6</v>
      </c>
      <c r="G2" s="3" t="s">
        <v>7</v>
      </c>
      <c r="H2" s="3" t="s">
        <v>8</v>
      </c>
      <c r="I2" s="3" t="s">
        <v>9</v>
      </c>
      <c r="J2" s="3" t="s">
        <v>10</v>
      </c>
      <c r="K2" s="2" t="s">
        <v>11</v>
      </c>
    </row>
    <row r="3" customFormat="false" ht="33" hidden="false" customHeight="true" outlineLevel="0" collapsed="false">
      <c r="A3" s="4" t="n">
        <v>1</v>
      </c>
      <c r="B3" s="5" t="s">
        <v>12</v>
      </c>
      <c r="C3" s="6" t="n">
        <v>4500</v>
      </c>
      <c r="D3" s="7" t="n">
        <v>0</v>
      </c>
      <c r="E3" s="6" t="n">
        <v>30</v>
      </c>
      <c r="F3" s="8" t="s">
        <v>13</v>
      </c>
      <c r="G3" s="8"/>
      <c r="H3" s="8"/>
      <c r="I3" s="8"/>
      <c r="J3" s="8"/>
      <c r="K3" s="5" t="s">
        <v>14</v>
      </c>
    </row>
    <row r="4" customFormat="false" ht="33" hidden="false" customHeight="true" outlineLevel="0" collapsed="false">
      <c r="A4" s="9" t="n">
        <v>2</v>
      </c>
      <c r="B4" s="10" t="s">
        <v>15</v>
      </c>
      <c r="C4" s="11" t="n">
        <v>4500</v>
      </c>
      <c r="D4" s="12" t="n">
        <v>0</v>
      </c>
      <c r="E4" s="11" t="n">
        <v>20</v>
      </c>
      <c r="F4" s="13"/>
      <c r="G4" s="13"/>
      <c r="H4" s="13"/>
      <c r="I4" s="13" t="s">
        <v>13</v>
      </c>
      <c r="J4" s="13"/>
      <c r="K4" s="10" t="s">
        <v>16</v>
      </c>
    </row>
    <row r="5" customFormat="false" ht="33" hidden="false" customHeight="true" outlineLevel="0" collapsed="false">
      <c r="A5" s="4" t="n">
        <v>3</v>
      </c>
      <c r="B5" s="5" t="s">
        <v>17</v>
      </c>
      <c r="C5" s="6" t="n">
        <v>4500</v>
      </c>
      <c r="D5" s="7" t="n">
        <v>0</v>
      </c>
      <c r="E5" s="6" t="n">
        <v>720</v>
      </c>
      <c r="F5" s="8"/>
      <c r="G5" s="8"/>
      <c r="H5" s="8"/>
      <c r="I5" s="8"/>
      <c r="J5" s="8" t="s">
        <v>13</v>
      </c>
      <c r="K5" s="5" t="s">
        <v>18</v>
      </c>
    </row>
    <row r="6" customFormat="false" ht="33" hidden="false" customHeight="true" outlineLevel="0" collapsed="false">
      <c r="A6" s="9" t="n">
        <v>4</v>
      </c>
      <c r="B6" s="10" t="s">
        <v>19</v>
      </c>
      <c r="C6" s="11" t="n">
        <v>4500</v>
      </c>
      <c r="D6" s="12" t="n">
        <v>25</v>
      </c>
      <c r="E6" s="11" t="n">
        <v>5</v>
      </c>
      <c r="F6" s="13"/>
      <c r="G6" s="13" t="s">
        <v>13</v>
      </c>
      <c r="H6" s="13"/>
      <c r="I6" s="13"/>
      <c r="J6" s="13"/>
      <c r="K6" s="10" t="s">
        <v>20</v>
      </c>
    </row>
    <row r="7" customFormat="false" ht="33" hidden="false" customHeight="true" outlineLevel="0" collapsed="false">
      <c r="A7" s="4" t="n">
        <v>5</v>
      </c>
      <c r="B7" s="5" t="s">
        <v>21</v>
      </c>
      <c r="C7" s="6" t="n">
        <v>4500</v>
      </c>
      <c r="D7" s="7" t="n">
        <v>0</v>
      </c>
      <c r="E7" s="6" t="n">
        <v>0</v>
      </c>
      <c r="F7" s="8" t="s">
        <v>13</v>
      </c>
      <c r="G7" s="8"/>
      <c r="H7" s="8"/>
      <c r="I7" s="8"/>
      <c r="J7" s="8"/>
      <c r="K7" s="5" t="s">
        <v>22</v>
      </c>
    </row>
    <row r="8" customFormat="false" ht="33" hidden="false" customHeight="true" outlineLevel="0" collapsed="false">
      <c r="A8" s="9" t="n">
        <v>6</v>
      </c>
      <c r="B8" s="10" t="s">
        <v>23</v>
      </c>
      <c r="C8" s="11" t="n">
        <v>4500</v>
      </c>
      <c r="D8" s="12" t="n">
        <v>0</v>
      </c>
      <c r="E8" s="11" t="n">
        <v>54</v>
      </c>
      <c r="F8" s="13" t="s">
        <v>13</v>
      </c>
      <c r="G8" s="13"/>
      <c r="H8" s="13"/>
      <c r="I8" s="13"/>
      <c r="J8" s="13"/>
      <c r="K8" s="10" t="s">
        <v>24</v>
      </c>
    </row>
    <row r="9" customFormat="false" ht="18" hidden="false" customHeight="true" outlineLevel="0" collapsed="false">
      <c r="A9" s="4" t="n">
        <v>7</v>
      </c>
      <c r="B9" s="5" t="s">
        <v>25</v>
      </c>
      <c r="C9" s="6" t="n">
        <v>4500</v>
      </c>
      <c r="D9" s="7" t="n">
        <v>12</v>
      </c>
      <c r="E9" s="6" t="n">
        <v>3</v>
      </c>
      <c r="F9" s="8"/>
      <c r="G9" s="8" t="s">
        <v>13</v>
      </c>
      <c r="H9" s="8"/>
      <c r="I9" s="8"/>
      <c r="J9" s="8"/>
      <c r="K9" s="5" t="s">
        <v>26</v>
      </c>
    </row>
    <row r="10" customFormat="false" ht="33" hidden="false" customHeight="true" outlineLevel="0" collapsed="false">
      <c r="A10" s="9" t="n">
        <v>8</v>
      </c>
      <c r="B10" s="10" t="s">
        <v>27</v>
      </c>
      <c r="C10" s="11" t="n">
        <v>4500</v>
      </c>
      <c r="D10" s="12" t="n">
        <v>0</v>
      </c>
      <c r="E10" s="11" t="n">
        <v>30</v>
      </c>
      <c r="F10" s="13" t="s">
        <v>13</v>
      </c>
      <c r="G10" s="13"/>
      <c r="H10" s="13"/>
      <c r="I10" s="13"/>
      <c r="J10" s="13"/>
      <c r="K10" s="10" t="s">
        <v>28</v>
      </c>
    </row>
    <row r="11" customFormat="false" ht="33" hidden="false" customHeight="true" outlineLevel="0" collapsed="false">
      <c r="A11" s="4" t="n">
        <v>9</v>
      </c>
      <c r="B11" s="5" t="s">
        <v>29</v>
      </c>
      <c r="C11" s="6" t="n">
        <v>4500</v>
      </c>
      <c r="D11" s="7" t="n">
        <v>0</v>
      </c>
      <c r="E11" s="6" t="n">
        <v>30</v>
      </c>
      <c r="F11" s="8" t="s">
        <v>13</v>
      </c>
      <c r="G11" s="8"/>
      <c r="H11" s="8"/>
      <c r="I11" s="8"/>
      <c r="J11" s="8"/>
      <c r="K11" s="5" t="s">
        <v>30</v>
      </c>
    </row>
    <row r="12" customFormat="false" ht="18" hidden="false" customHeight="true" outlineLevel="0" collapsed="false">
      <c r="A12" s="9" t="n">
        <v>10</v>
      </c>
      <c r="B12" s="10" t="s">
        <v>31</v>
      </c>
      <c r="C12" s="11" t="n">
        <v>4500</v>
      </c>
      <c r="D12" s="12" t="n">
        <v>0</v>
      </c>
      <c r="E12" s="11" t="n">
        <v>5</v>
      </c>
      <c r="F12" s="13"/>
      <c r="G12" s="13"/>
      <c r="H12" s="13"/>
      <c r="I12" s="13" t="s">
        <v>13</v>
      </c>
      <c r="J12" s="13"/>
      <c r="K12" s="10" t="s">
        <v>32</v>
      </c>
    </row>
    <row r="13" customFormat="false" ht="18" hidden="false" customHeight="true" outlineLevel="0" collapsed="false">
      <c r="A13" s="4" t="n">
        <v>11</v>
      </c>
      <c r="B13" s="5" t="s">
        <v>33</v>
      </c>
      <c r="C13" s="6" t="n">
        <v>4500</v>
      </c>
      <c r="D13" s="7" t="n">
        <v>0</v>
      </c>
      <c r="E13" s="6" t="n">
        <v>10</v>
      </c>
      <c r="F13" s="8" t="s">
        <v>13</v>
      </c>
      <c r="G13" s="8"/>
      <c r="H13" s="8"/>
      <c r="I13" s="8"/>
      <c r="J13" s="8"/>
      <c r="K13" s="5" t="s">
        <v>34</v>
      </c>
    </row>
    <row r="14" customFormat="false" ht="33" hidden="false" customHeight="true" outlineLevel="0" collapsed="false">
      <c r="A14" s="9" t="n">
        <v>12</v>
      </c>
      <c r="B14" s="10" t="s">
        <v>35</v>
      </c>
      <c r="C14" s="11" t="n">
        <v>4500</v>
      </c>
      <c r="D14" s="12" t="n">
        <v>0</v>
      </c>
      <c r="E14" s="11" t="n">
        <v>25</v>
      </c>
      <c r="F14" s="13" t="s">
        <v>13</v>
      </c>
      <c r="G14" s="13"/>
      <c r="H14" s="13"/>
      <c r="I14" s="13"/>
      <c r="J14" s="13"/>
      <c r="K14" s="10" t="s">
        <v>36</v>
      </c>
    </row>
    <row r="15" customFormat="false" ht="33" hidden="false" customHeight="true" outlineLevel="0" collapsed="false">
      <c r="A15" s="4" t="n">
        <v>13</v>
      </c>
      <c r="B15" s="5" t="s">
        <v>37</v>
      </c>
      <c r="C15" s="6" t="n">
        <v>4500</v>
      </c>
      <c r="D15" s="7" t="n">
        <v>0</v>
      </c>
      <c r="E15" s="6" t="n">
        <v>20</v>
      </c>
      <c r="F15" s="8" t="s">
        <v>13</v>
      </c>
      <c r="G15" s="8"/>
      <c r="H15" s="8"/>
      <c r="I15" s="8"/>
      <c r="J15" s="8"/>
      <c r="K15" s="5" t="s">
        <v>38</v>
      </c>
    </row>
    <row r="16" customFormat="false" ht="33" hidden="false" customHeight="true" outlineLevel="0" collapsed="false">
      <c r="A16" s="9" t="n">
        <v>14</v>
      </c>
      <c r="B16" s="10" t="s">
        <v>39</v>
      </c>
      <c r="C16" s="11" t="n">
        <v>634</v>
      </c>
      <c r="D16" s="12" t="n">
        <v>0</v>
      </c>
      <c r="E16" s="11" t="n">
        <v>5</v>
      </c>
      <c r="F16" s="13"/>
      <c r="G16" s="13"/>
      <c r="H16" s="13" t="s">
        <v>13</v>
      </c>
      <c r="I16" s="13"/>
      <c r="J16" s="13"/>
      <c r="K16" s="10" t="s">
        <v>40</v>
      </c>
    </row>
    <row r="17" customFormat="false" ht="18" hidden="false" customHeight="true" outlineLevel="0" collapsed="false">
      <c r="A17" s="4" t="n">
        <v>15</v>
      </c>
      <c r="B17" s="5" t="s">
        <v>41</v>
      </c>
      <c r="C17" s="6" t="n">
        <v>634</v>
      </c>
      <c r="D17" s="7" t="n">
        <v>10</v>
      </c>
      <c r="E17" s="6" t="n">
        <v>5</v>
      </c>
      <c r="F17" s="8"/>
      <c r="G17" s="8" t="s">
        <v>13</v>
      </c>
      <c r="H17" s="8"/>
      <c r="I17" s="8"/>
      <c r="J17" s="8"/>
      <c r="K17" s="5" t="s">
        <v>42</v>
      </c>
    </row>
    <row r="18" customFormat="false" ht="18" hidden="false" customHeight="true" outlineLevel="0" collapsed="false">
      <c r="A18" s="9" t="n">
        <v>16</v>
      </c>
      <c r="B18" s="10" t="s">
        <v>43</v>
      </c>
      <c r="C18" s="11" t="n">
        <v>634</v>
      </c>
      <c r="D18" s="12" t="n">
        <v>0</v>
      </c>
      <c r="E18" s="11" t="n">
        <v>15</v>
      </c>
      <c r="F18" s="13" t="s">
        <v>13</v>
      </c>
      <c r="G18" s="13"/>
      <c r="H18" s="13"/>
      <c r="I18" s="13"/>
      <c r="J18" s="13"/>
      <c r="K18" s="10" t="s">
        <v>44</v>
      </c>
    </row>
    <row r="19" customFormat="false" ht="33" hidden="false" customHeight="true" outlineLevel="0" collapsed="false">
      <c r="A19" s="4" t="n">
        <v>17</v>
      </c>
      <c r="B19" s="5" t="s">
        <v>45</v>
      </c>
      <c r="C19" s="6" t="n">
        <v>634</v>
      </c>
      <c r="D19" s="7" t="n">
        <v>0</v>
      </c>
      <c r="E19" s="6" t="n">
        <v>15</v>
      </c>
      <c r="F19" s="8"/>
      <c r="G19" s="8"/>
      <c r="H19" s="8" t="s">
        <v>13</v>
      </c>
      <c r="I19" s="8"/>
      <c r="J19" s="8"/>
      <c r="K19" s="5" t="s">
        <v>46</v>
      </c>
    </row>
    <row r="20" customFormat="false" ht="18" hidden="false" customHeight="true" outlineLevel="0" collapsed="false">
      <c r="A20" s="4" t="n">
        <v>18</v>
      </c>
      <c r="B20" s="5" t="s">
        <v>47</v>
      </c>
      <c r="C20" s="6" t="n">
        <v>634</v>
      </c>
      <c r="D20" s="7" t="n">
        <v>0</v>
      </c>
      <c r="E20" s="6" t="n">
        <v>15</v>
      </c>
      <c r="F20" s="8" t="s">
        <v>13</v>
      </c>
      <c r="G20" s="8"/>
      <c r="H20" s="8"/>
      <c r="I20" s="8"/>
      <c r="J20" s="8"/>
      <c r="K20" s="5" t="s">
        <v>48</v>
      </c>
    </row>
    <row r="21" customFormat="false" ht="18" hidden="false" customHeight="true" outlineLevel="0" collapsed="false">
      <c r="A21" s="9" t="n">
        <v>19</v>
      </c>
      <c r="B21" s="10" t="s">
        <v>49</v>
      </c>
      <c r="C21" s="11" t="n">
        <v>562</v>
      </c>
      <c r="D21" s="12" t="n">
        <v>0</v>
      </c>
      <c r="E21" s="11" t="n">
        <v>45</v>
      </c>
      <c r="F21" s="13" t="s">
        <v>13</v>
      </c>
      <c r="G21" s="13"/>
      <c r="H21" s="13"/>
      <c r="I21" s="13"/>
      <c r="J21" s="13"/>
      <c r="K21" s="10" t="s">
        <v>50</v>
      </c>
    </row>
    <row r="22" customFormat="false" ht="18" hidden="false" customHeight="true" outlineLevel="0" collapsed="false">
      <c r="A22" s="4" t="n">
        <v>20</v>
      </c>
      <c r="B22" s="5" t="s">
        <v>51</v>
      </c>
      <c r="C22" s="6" t="n">
        <v>562</v>
      </c>
      <c r="D22" s="7" t="n">
        <v>0</v>
      </c>
      <c r="E22" s="6" t="n">
        <v>5</v>
      </c>
      <c r="F22" s="8"/>
      <c r="G22" s="8"/>
      <c r="H22" s="8"/>
      <c r="I22" s="8" t="s">
        <v>13</v>
      </c>
      <c r="J22" s="8"/>
      <c r="K22" s="5" t="s">
        <v>52</v>
      </c>
    </row>
    <row r="23" customFormat="false" ht="18" hidden="false" customHeight="true" outlineLevel="0" collapsed="false">
      <c r="A23" s="9" t="n">
        <v>21</v>
      </c>
      <c r="B23" s="10" t="s">
        <v>53</v>
      </c>
      <c r="C23" s="11" t="n">
        <v>562</v>
      </c>
      <c r="D23" s="12" t="n">
        <v>15</v>
      </c>
      <c r="E23" s="11" t="n">
        <v>4</v>
      </c>
      <c r="F23" s="13"/>
      <c r="G23" s="13" t="s">
        <v>13</v>
      </c>
      <c r="H23" s="13"/>
      <c r="I23" s="13"/>
      <c r="J23" s="13"/>
      <c r="K23" s="10" t="s">
        <v>54</v>
      </c>
    </row>
    <row r="24" customFormat="false" ht="33" hidden="false" customHeight="true" outlineLevel="0" collapsed="false">
      <c r="A24" s="4" t="n">
        <v>22</v>
      </c>
      <c r="B24" s="5" t="s">
        <v>55</v>
      </c>
      <c r="C24" s="6" t="n">
        <v>540</v>
      </c>
      <c r="D24" s="7" t="n">
        <v>0</v>
      </c>
      <c r="E24" s="6" t="n">
        <v>720</v>
      </c>
      <c r="F24" s="8" t="s">
        <v>13</v>
      </c>
      <c r="G24" s="8"/>
      <c r="H24" s="8"/>
      <c r="I24" s="8"/>
      <c r="J24" s="8"/>
      <c r="K24" s="5" t="s">
        <v>56</v>
      </c>
    </row>
    <row r="25" customFormat="false" ht="18" hidden="false" customHeight="true" outlineLevel="0" collapsed="false">
      <c r="A25" s="9" t="n">
        <v>23</v>
      </c>
      <c r="B25" s="10" t="s">
        <v>57</v>
      </c>
      <c r="C25" s="11" t="n">
        <v>540</v>
      </c>
      <c r="D25" s="12" t="n">
        <v>10</v>
      </c>
      <c r="E25" s="11" t="n">
        <v>3</v>
      </c>
      <c r="F25" s="13"/>
      <c r="G25" s="13" t="s">
        <v>13</v>
      </c>
      <c r="H25" s="13"/>
      <c r="I25" s="13"/>
      <c r="J25" s="13"/>
      <c r="K25" s="10" t="s">
        <v>58</v>
      </c>
    </row>
    <row r="26" customFormat="false" ht="33" hidden="false" customHeight="true" outlineLevel="0" collapsed="false">
      <c r="A26" s="4" t="n">
        <v>24</v>
      </c>
      <c r="B26" s="5" t="s">
        <v>59</v>
      </c>
      <c r="C26" s="6" t="n">
        <v>540</v>
      </c>
      <c r="D26" s="7" t="n">
        <v>0</v>
      </c>
      <c r="E26" s="6" t="n">
        <v>216</v>
      </c>
      <c r="F26" s="8" t="s">
        <v>13</v>
      </c>
      <c r="G26" s="8"/>
      <c r="H26" s="8"/>
      <c r="I26" s="8"/>
      <c r="J26" s="8"/>
      <c r="K26" s="5" t="s">
        <v>60</v>
      </c>
    </row>
    <row r="27" customFormat="false" ht="18" hidden="false" customHeight="true" outlineLevel="0" collapsed="false">
      <c r="A27" s="4" t="n">
        <v>25</v>
      </c>
      <c r="B27" s="5" t="s">
        <v>61</v>
      </c>
      <c r="C27" s="6" t="n">
        <v>540</v>
      </c>
      <c r="D27" s="7" t="n">
        <v>0</v>
      </c>
      <c r="E27" s="6" t="n">
        <v>10</v>
      </c>
      <c r="F27" s="8"/>
      <c r="G27" s="8"/>
      <c r="H27" s="8"/>
      <c r="I27" s="8" t="s">
        <v>13</v>
      </c>
      <c r="J27" s="8"/>
      <c r="K27" s="5" t="s">
        <v>62</v>
      </c>
    </row>
    <row r="28" customFormat="false" ht="18" hidden="false" customHeight="true" outlineLevel="0" collapsed="false">
      <c r="A28" s="9" t="n">
        <v>26</v>
      </c>
      <c r="B28" s="10" t="s">
        <v>63</v>
      </c>
      <c r="C28" s="11" t="n">
        <v>540</v>
      </c>
      <c r="D28" s="12" t="n">
        <v>0</v>
      </c>
      <c r="E28" s="11" t="n">
        <v>40</v>
      </c>
      <c r="F28" s="13" t="s">
        <v>13</v>
      </c>
      <c r="G28" s="13"/>
      <c r="H28" s="13"/>
      <c r="I28" s="13"/>
      <c r="J28" s="13"/>
      <c r="K28" s="10" t="s">
        <v>64</v>
      </c>
    </row>
    <row r="29" customFormat="false" ht="18" hidden="false" customHeight="true" outlineLevel="0" collapsed="false">
      <c r="A29" s="4" t="n">
        <v>27</v>
      </c>
      <c r="B29" s="5" t="s">
        <v>65</v>
      </c>
      <c r="C29" s="6" t="n">
        <v>540</v>
      </c>
      <c r="D29" s="7" t="n">
        <v>25</v>
      </c>
      <c r="E29" s="6" t="n">
        <v>5</v>
      </c>
      <c r="F29" s="8"/>
      <c r="G29" s="8" t="s">
        <v>13</v>
      </c>
      <c r="H29" s="8"/>
      <c r="I29" s="8"/>
      <c r="J29" s="8"/>
      <c r="K29" s="5" t="s">
        <v>66</v>
      </c>
    </row>
    <row r="30" customFormat="false" ht="33" hidden="false" customHeight="true" outlineLevel="0" collapsed="false">
      <c r="A30" s="9" t="n">
        <v>28</v>
      </c>
      <c r="B30" s="10" t="s">
        <v>67</v>
      </c>
      <c r="C30" s="11" t="n">
        <v>540</v>
      </c>
      <c r="D30" s="12" t="n">
        <v>0</v>
      </c>
      <c r="E30" s="11" t="n">
        <v>4320</v>
      </c>
      <c r="F30" s="13"/>
      <c r="G30" s="13"/>
      <c r="H30" s="13"/>
      <c r="I30" s="13"/>
      <c r="J30" s="13" t="s">
        <v>13</v>
      </c>
      <c r="K30" s="10" t="s">
        <v>68</v>
      </c>
    </row>
    <row r="32" customFormat="false" ht="15" hidden="false" customHeight="false" outlineLevel="0" collapsed="false">
      <c r="B32" s="14" t="s">
        <v>69</v>
      </c>
      <c r="D32" s="15" t="n">
        <f aca="false">SUM(D3:D30)</f>
        <v>97</v>
      </c>
      <c r="E32" s="16" t="n">
        <f aca="false">SUM(E3:E30)</f>
        <v>6375</v>
      </c>
      <c r="F32" s="15" t="n">
        <f aca="false">COUNTA(F3:F30)</f>
        <v>14</v>
      </c>
      <c r="G32" s="15" t="n">
        <f aca="false">COUNTA(G3:G30)</f>
        <v>6</v>
      </c>
      <c r="H32" s="15" t="n">
        <f aca="false">COUNTA(H3:H30)</f>
        <v>2</v>
      </c>
      <c r="I32" s="15" t="n">
        <f aca="false">COUNTA(I3:I30)</f>
        <v>4</v>
      </c>
      <c r="J32" s="15" t="n">
        <f aca="false">COUNTA(J3:J30)</f>
        <v>2</v>
      </c>
      <c r="K32" s="17" t="s">
        <v>70</v>
      </c>
    </row>
    <row r="34" customFormat="false" ht="111.75" hidden="false" customHeight="true" outlineLevel="0" collapsed="false">
      <c r="A34" s="18" t="s">
        <v>71</v>
      </c>
      <c r="B34" s="18"/>
      <c r="C34" s="18"/>
      <c r="D34" s="18"/>
      <c r="E34" s="18"/>
      <c r="F34" s="18"/>
      <c r="G34" s="18"/>
      <c r="H34" s="18"/>
      <c r="I34" s="18"/>
      <c r="J34" s="18"/>
      <c r="K34" s="18"/>
    </row>
    <row r="36" customFormat="false" ht="39.75" hidden="false" customHeight="true" outlineLevel="0" collapsed="false">
      <c r="A36" s="19"/>
      <c r="B36" s="19"/>
      <c r="C36" s="19"/>
      <c r="D36" s="19"/>
      <c r="E36" s="19"/>
      <c r="F36" s="19"/>
      <c r="G36" s="19"/>
      <c r="H36" s="19"/>
      <c r="I36" s="19"/>
      <c r="J36" s="19"/>
      <c r="K36" s="19"/>
    </row>
    <row r="37" customFormat="false" ht="15" hidden="false" customHeight="false" outlineLevel="0" collapsed="false">
      <c r="A37" s="20"/>
    </row>
  </sheetData>
  <mergeCells count="3">
    <mergeCell ref="A1:K1"/>
    <mergeCell ref="A34:K34"/>
    <mergeCell ref="A36:K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A5FA"/>
    <pageSetUpPr fitToPage="false"/>
  </sheetPr>
  <dimension ref="A1:K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3"/>
    <col collapsed="false" customWidth="true" hidden="false" outlineLevel="0" max="6" min="6" style="0" width="5"/>
    <col collapsed="false" customWidth="true" hidden="false" outlineLevel="0" max="11" min="11" style="0" width="86"/>
  </cols>
  <sheetData>
    <row r="1" customFormat="false" ht="27.75" hidden="false" customHeight="true" outlineLevel="0" collapsed="false">
      <c r="A1" s="1" t="s">
        <v>72</v>
      </c>
      <c r="B1" s="1"/>
      <c r="C1" s="1"/>
      <c r="D1" s="1"/>
      <c r="E1" s="1"/>
      <c r="F1" s="1"/>
      <c r="G1" s="1"/>
      <c r="H1" s="1"/>
      <c r="I1" s="1"/>
      <c r="J1" s="1"/>
      <c r="K1" s="1"/>
    </row>
    <row r="2" customFormat="false" ht="31.5" hidden="false" customHeight="true" outlineLevel="0" collapsed="false">
      <c r="A2" s="2" t="s">
        <v>1</v>
      </c>
      <c r="B2" s="2" t="s">
        <v>2</v>
      </c>
      <c r="C2" s="2" t="s">
        <v>3</v>
      </c>
      <c r="D2" s="2" t="s">
        <v>4</v>
      </c>
      <c r="E2" s="2" t="s">
        <v>5</v>
      </c>
      <c r="F2" s="3" t="s">
        <v>6</v>
      </c>
      <c r="G2" s="3" t="s">
        <v>7</v>
      </c>
      <c r="H2" s="3" t="s">
        <v>8</v>
      </c>
      <c r="I2" s="3" t="s">
        <v>9</v>
      </c>
      <c r="J2" s="3" t="s">
        <v>10</v>
      </c>
      <c r="K2" s="2" t="s">
        <v>11</v>
      </c>
    </row>
    <row r="3" customFormat="false" ht="33" hidden="false" customHeight="true" outlineLevel="0" collapsed="false">
      <c r="A3" s="4" t="n">
        <v>1</v>
      </c>
      <c r="B3" s="5" t="s">
        <v>12</v>
      </c>
      <c r="C3" s="6" t="n">
        <v>4500</v>
      </c>
      <c r="D3" s="7" t="n">
        <v>0</v>
      </c>
      <c r="E3" s="6" t="n">
        <v>30</v>
      </c>
      <c r="F3" s="8" t="s">
        <v>13</v>
      </c>
      <c r="G3" s="8"/>
      <c r="H3" s="8"/>
      <c r="I3" s="8"/>
      <c r="J3" s="8"/>
      <c r="K3" s="5" t="s">
        <v>14</v>
      </c>
    </row>
    <row r="4" customFormat="false" ht="33" hidden="false" customHeight="true" outlineLevel="0" collapsed="false">
      <c r="A4" s="9" t="n">
        <v>2</v>
      </c>
      <c r="B4" s="10" t="s">
        <v>15</v>
      </c>
      <c r="C4" s="11" t="n">
        <v>4500</v>
      </c>
      <c r="D4" s="12" t="n">
        <v>0</v>
      </c>
      <c r="E4" s="11" t="n">
        <v>20</v>
      </c>
      <c r="F4" s="13"/>
      <c r="G4" s="13"/>
      <c r="H4" s="13"/>
      <c r="I4" s="13" t="s">
        <v>13</v>
      </c>
      <c r="J4" s="13"/>
      <c r="K4" s="10" t="s">
        <v>16</v>
      </c>
    </row>
    <row r="5" customFormat="false" ht="33" hidden="false" customHeight="true" outlineLevel="0" collapsed="false">
      <c r="A5" s="4" t="n">
        <v>3</v>
      </c>
      <c r="B5" s="5" t="s">
        <v>17</v>
      </c>
      <c r="C5" s="6" t="n">
        <v>4500</v>
      </c>
      <c r="D5" s="7" t="n">
        <v>0</v>
      </c>
      <c r="E5" s="6" t="n">
        <v>720</v>
      </c>
      <c r="F5" s="8"/>
      <c r="G5" s="8"/>
      <c r="H5" s="8"/>
      <c r="I5" s="8"/>
      <c r="J5" s="8" t="s">
        <v>13</v>
      </c>
      <c r="K5" s="5" t="s">
        <v>18</v>
      </c>
    </row>
    <row r="6" customFormat="false" ht="33" hidden="false" customHeight="true" outlineLevel="0" collapsed="false">
      <c r="A6" s="9" t="n">
        <v>4</v>
      </c>
      <c r="B6" s="10" t="s">
        <v>19</v>
      </c>
      <c r="C6" s="11" t="n">
        <v>4500</v>
      </c>
      <c r="D6" s="12" t="n">
        <v>25</v>
      </c>
      <c r="E6" s="11" t="n">
        <v>5</v>
      </c>
      <c r="F6" s="13"/>
      <c r="G6" s="13" t="s">
        <v>13</v>
      </c>
      <c r="H6" s="13"/>
      <c r="I6" s="13"/>
      <c r="J6" s="13"/>
      <c r="K6" s="10" t="s">
        <v>20</v>
      </c>
    </row>
    <row r="7" customFormat="false" ht="33" hidden="false" customHeight="true" outlineLevel="0" collapsed="false">
      <c r="A7" s="4" t="n">
        <v>5</v>
      </c>
      <c r="B7" s="5" t="s">
        <v>21</v>
      </c>
      <c r="C7" s="6" t="n">
        <v>4500</v>
      </c>
      <c r="D7" s="7" t="n">
        <v>0</v>
      </c>
      <c r="E7" s="6" t="n">
        <v>0</v>
      </c>
      <c r="F7" s="8" t="s">
        <v>13</v>
      </c>
      <c r="G7" s="8"/>
      <c r="H7" s="8"/>
      <c r="I7" s="8"/>
      <c r="J7" s="8"/>
      <c r="K7" s="5" t="s">
        <v>22</v>
      </c>
    </row>
    <row r="8" customFormat="false" ht="33" hidden="false" customHeight="true" outlineLevel="0" collapsed="false">
      <c r="A8" s="9" t="n">
        <v>6</v>
      </c>
      <c r="B8" s="10" t="s">
        <v>23</v>
      </c>
      <c r="C8" s="11" t="n">
        <v>4500</v>
      </c>
      <c r="D8" s="12" t="n">
        <v>0</v>
      </c>
      <c r="E8" s="11" t="n">
        <v>54</v>
      </c>
      <c r="F8" s="13" t="s">
        <v>13</v>
      </c>
      <c r="G8" s="13"/>
      <c r="H8" s="13"/>
      <c r="I8" s="13"/>
      <c r="J8" s="13"/>
      <c r="K8" s="10" t="s">
        <v>24</v>
      </c>
    </row>
    <row r="9" customFormat="false" ht="18" hidden="false" customHeight="true" outlineLevel="0" collapsed="false">
      <c r="A9" s="4" t="n">
        <v>7</v>
      </c>
      <c r="B9" s="5" t="s">
        <v>25</v>
      </c>
      <c r="C9" s="6" t="n">
        <v>4500</v>
      </c>
      <c r="D9" s="7" t="n">
        <v>12</v>
      </c>
      <c r="E9" s="6" t="n">
        <v>3</v>
      </c>
      <c r="F9" s="8"/>
      <c r="G9" s="8" t="s">
        <v>13</v>
      </c>
      <c r="H9" s="8"/>
      <c r="I9" s="8"/>
      <c r="J9" s="8"/>
      <c r="K9" s="5" t="s">
        <v>26</v>
      </c>
    </row>
    <row r="10" customFormat="false" ht="33" hidden="false" customHeight="true" outlineLevel="0" collapsed="false">
      <c r="A10" s="9" t="n">
        <v>8</v>
      </c>
      <c r="B10" s="10" t="s">
        <v>27</v>
      </c>
      <c r="C10" s="11" t="n">
        <v>4500</v>
      </c>
      <c r="D10" s="12" t="n">
        <v>0</v>
      </c>
      <c r="E10" s="11" t="n">
        <v>30</v>
      </c>
      <c r="F10" s="13" t="s">
        <v>13</v>
      </c>
      <c r="G10" s="13"/>
      <c r="H10" s="13"/>
      <c r="I10" s="13"/>
      <c r="J10" s="13"/>
      <c r="K10" s="10" t="s">
        <v>28</v>
      </c>
    </row>
    <row r="11" customFormat="false" ht="33" hidden="false" customHeight="true" outlineLevel="0" collapsed="false">
      <c r="A11" s="4" t="n">
        <v>9</v>
      </c>
      <c r="B11" s="5" t="s">
        <v>73</v>
      </c>
      <c r="C11" s="6" t="n">
        <v>4500</v>
      </c>
      <c r="D11" s="7" t="n">
        <v>0</v>
      </c>
      <c r="E11" s="6" t="n">
        <v>30</v>
      </c>
      <c r="F11" s="8" t="s">
        <v>13</v>
      </c>
      <c r="G11" s="8"/>
      <c r="H11" s="8"/>
      <c r="I11" s="8"/>
      <c r="J11" s="8"/>
      <c r="K11" s="5" t="s">
        <v>30</v>
      </c>
    </row>
    <row r="12" customFormat="false" ht="18" hidden="false" customHeight="true" outlineLevel="0" collapsed="false">
      <c r="A12" s="9" t="n">
        <v>10</v>
      </c>
      <c r="B12" s="10" t="s">
        <v>31</v>
      </c>
      <c r="C12" s="11" t="n">
        <v>4500</v>
      </c>
      <c r="D12" s="12" t="n">
        <v>0</v>
      </c>
      <c r="E12" s="11" t="n">
        <v>5</v>
      </c>
      <c r="F12" s="13"/>
      <c r="G12" s="13"/>
      <c r="H12" s="13"/>
      <c r="I12" s="13" t="s">
        <v>13</v>
      </c>
      <c r="J12" s="13"/>
      <c r="K12" s="10" t="s">
        <v>32</v>
      </c>
    </row>
    <row r="13" customFormat="false" ht="18" hidden="false" customHeight="true" outlineLevel="0" collapsed="false">
      <c r="A13" s="4" t="n">
        <v>11</v>
      </c>
      <c r="B13" s="5" t="s">
        <v>33</v>
      </c>
      <c r="C13" s="6" t="n">
        <v>4500</v>
      </c>
      <c r="D13" s="7" t="n">
        <v>0</v>
      </c>
      <c r="E13" s="6" t="n">
        <v>10</v>
      </c>
      <c r="F13" s="8" t="s">
        <v>13</v>
      </c>
      <c r="G13" s="8"/>
      <c r="H13" s="8"/>
      <c r="I13" s="8"/>
      <c r="J13" s="8"/>
      <c r="K13" s="5" t="s">
        <v>34</v>
      </c>
    </row>
    <row r="14" customFormat="false" ht="18" hidden="false" customHeight="true" outlineLevel="0" collapsed="false">
      <c r="A14" s="9" t="n">
        <v>12</v>
      </c>
      <c r="B14" s="10" t="s">
        <v>74</v>
      </c>
      <c r="C14" s="11" t="n">
        <v>4500</v>
      </c>
      <c r="D14" s="12" t="n">
        <v>0</v>
      </c>
      <c r="E14" s="11" t="n">
        <v>25</v>
      </c>
      <c r="F14" s="13" t="s">
        <v>13</v>
      </c>
      <c r="G14" s="13"/>
      <c r="H14" s="13"/>
      <c r="I14" s="13"/>
      <c r="J14" s="13"/>
      <c r="K14" s="10" t="s">
        <v>75</v>
      </c>
    </row>
    <row r="15" customFormat="false" ht="33" hidden="false" customHeight="true" outlineLevel="0" collapsed="false">
      <c r="A15" s="4" t="n">
        <v>13</v>
      </c>
      <c r="B15" s="5" t="s">
        <v>37</v>
      </c>
      <c r="C15" s="6" t="n">
        <v>4500</v>
      </c>
      <c r="D15" s="7" t="n">
        <v>0</v>
      </c>
      <c r="E15" s="6" t="n">
        <v>20</v>
      </c>
      <c r="F15" s="8" t="s">
        <v>13</v>
      </c>
      <c r="G15" s="8"/>
      <c r="H15" s="8"/>
      <c r="I15" s="8"/>
      <c r="J15" s="8"/>
      <c r="K15" s="5" t="s">
        <v>76</v>
      </c>
    </row>
    <row r="16" customFormat="false" ht="33" hidden="false" customHeight="true" outlineLevel="0" collapsed="false">
      <c r="A16" s="9" t="n">
        <v>14</v>
      </c>
      <c r="B16" s="10" t="s">
        <v>77</v>
      </c>
      <c r="C16" s="11" t="n">
        <v>578</v>
      </c>
      <c r="D16" s="12" t="n">
        <v>0</v>
      </c>
      <c r="E16" s="11" t="n">
        <v>90</v>
      </c>
      <c r="F16" s="13"/>
      <c r="G16" s="13"/>
      <c r="H16" s="13" t="s">
        <v>13</v>
      </c>
      <c r="I16" s="13"/>
      <c r="J16" s="13"/>
      <c r="K16" s="10" t="s">
        <v>78</v>
      </c>
    </row>
    <row r="17" customFormat="false" ht="18" hidden="false" customHeight="true" outlineLevel="0" collapsed="false">
      <c r="A17" s="4" t="n">
        <v>15</v>
      </c>
      <c r="B17" s="5" t="s">
        <v>79</v>
      </c>
      <c r="C17" s="6" t="n">
        <v>578</v>
      </c>
      <c r="D17" s="7" t="n">
        <v>0</v>
      </c>
      <c r="E17" s="6" t="n">
        <v>5</v>
      </c>
      <c r="F17" s="8"/>
      <c r="G17" s="8"/>
      <c r="H17" s="8"/>
      <c r="I17" s="8" t="s">
        <v>13</v>
      </c>
      <c r="J17" s="8"/>
      <c r="K17" s="5" t="s">
        <v>80</v>
      </c>
    </row>
    <row r="18" customFormat="false" ht="18" hidden="false" customHeight="true" outlineLevel="0" collapsed="false">
      <c r="A18" s="9" t="n">
        <v>16</v>
      </c>
      <c r="B18" s="10" t="s">
        <v>81</v>
      </c>
      <c r="C18" s="11" t="n">
        <v>578</v>
      </c>
      <c r="D18" s="12" t="n">
        <v>10</v>
      </c>
      <c r="E18" s="11" t="n">
        <v>5</v>
      </c>
      <c r="F18" s="13"/>
      <c r="G18" s="13" t="s">
        <v>13</v>
      </c>
      <c r="H18" s="13"/>
      <c r="I18" s="13"/>
      <c r="J18" s="13"/>
      <c r="K18" s="10" t="s">
        <v>42</v>
      </c>
    </row>
    <row r="19" customFormat="false" ht="18" hidden="false" customHeight="true" outlineLevel="0" collapsed="false">
      <c r="A19" s="4" t="n">
        <v>17</v>
      </c>
      <c r="B19" s="5" t="s">
        <v>82</v>
      </c>
      <c r="C19" s="6" t="n">
        <v>528</v>
      </c>
      <c r="D19" s="7" t="n">
        <v>0</v>
      </c>
      <c r="E19" s="6" t="n">
        <v>60</v>
      </c>
      <c r="F19" s="8" t="s">
        <v>13</v>
      </c>
      <c r="G19" s="8"/>
      <c r="H19" s="8"/>
      <c r="I19" s="8"/>
      <c r="J19" s="8"/>
      <c r="K19" s="5" t="s">
        <v>83</v>
      </c>
    </row>
    <row r="20" customFormat="false" ht="18" hidden="false" customHeight="true" outlineLevel="0" collapsed="false">
      <c r="A20" s="9" t="n">
        <v>18</v>
      </c>
      <c r="B20" s="10" t="s">
        <v>47</v>
      </c>
      <c r="C20" s="11" t="n">
        <v>495</v>
      </c>
      <c r="D20" s="12" t="n">
        <v>0</v>
      </c>
      <c r="E20" s="11" t="n">
        <v>30</v>
      </c>
      <c r="F20" s="13" t="s">
        <v>13</v>
      </c>
      <c r="G20" s="13"/>
      <c r="H20" s="13"/>
      <c r="I20" s="13"/>
      <c r="J20" s="13"/>
      <c r="K20" s="10" t="s">
        <v>84</v>
      </c>
    </row>
    <row r="21" customFormat="false" ht="33" hidden="false" customHeight="true" outlineLevel="0" collapsed="false">
      <c r="A21" s="4" t="n">
        <v>19</v>
      </c>
      <c r="B21" s="5" t="s">
        <v>85</v>
      </c>
      <c r="C21" s="6" t="n">
        <v>495</v>
      </c>
      <c r="D21" s="7" t="n">
        <v>0</v>
      </c>
      <c r="E21" s="6" t="n">
        <v>75</v>
      </c>
      <c r="F21" s="8" t="s">
        <v>13</v>
      </c>
      <c r="G21" s="8"/>
      <c r="H21" s="8"/>
      <c r="I21" s="8"/>
      <c r="J21" s="8"/>
      <c r="K21" s="5" t="s">
        <v>86</v>
      </c>
    </row>
    <row r="22" customFormat="false" ht="18" hidden="false" customHeight="true" outlineLevel="0" collapsed="false">
      <c r="A22" s="9" t="n">
        <v>20</v>
      </c>
      <c r="B22" s="10" t="s">
        <v>87</v>
      </c>
      <c r="C22" s="11" t="n">
        <v>495</v>
      </c>
      <c r="D22" s="12" t="n">
        <v>0</v>
      </c>
      <c r="E22" s="11" t="n">
        <v>5</v>
      </c>
      <c r="F22" s="13"/>
      <c r="G22" s="13"/>
      <c r="H22" s="13"/>
      <c r="I22" s="13" t="s">
        <v>13</v>
      </c>
      <c r="J22" s="13"/>
      <c r="K22" s="10" t="s">
        <v>88</v>
      </c>
    </row>
    <row r="23" customFormat="false" ht="33" hidden="false" customHeight="true" outlineLevel="0" collapsed="false">
      <c r="A23" s="9" t="n">
        <v>21</v>
      </c>
      <c r="B23" s="10" t="s">
        <v>89</v>
      </c>
      <c r="C23" s="11" t="n">
        <v>495</v>
      </c>
      <c r="D23" s="12" t="n">
        <v>0</v>
      </c>
      <c r="E23" s="11" t="n">
        <v>26</v>
      </c>
      <c r="F23" s="13"/>
      <c r="G23" s="13"/>
      <c r="H23" s="13" t="s">
        <v>13</v>
      </c>
      <c r="I23" s="13"/>
      <c r="J23" s="13"/>
      <c r="K23" s="10" t="s">
        <v>90</v>
      </c>
    </row>
    <row r="24" customFormat="false" ht="18" hidden="false" customHeight="true" outlineLevel="0" collapsed="false">
      <c r="A24" s="4" t="n">
        <v>22</v>
      </c>
      <c r="B24" s="5" t="s">
        <v>57</v>
      </c>
      <c r="C24" s="6" t="n">
        <v>495</v>
      </c>
      <c r="D24" s="7" t="n">
        <v>12</v>
      </c>
      <c r="E24" s="6" t="n">
        <v>4</v>
      </c>
      <c r="F24" s="8"/>
      <c r="G24" s="8" t="s">
        <v>13</v>
      </c>
      <c r="H24" s="8"/>
      <c r="I24" s="8"/>
      <c r="J24" s="8"/>
      <c r="K24" s="5" t="s">
        <v>58</v>
      </c>
    </row>
    <row r="25" customFormat="false" ht="33" hidden="false" customHeight="true" outlineLevel="0" collapsed="false">
      <c r="A25" s="9" t="n">
        <v>23</v>
      </c>
      <c r="B25" s="10" t="s">
        <v>91</v>
      </c>
      <c r="C25" s="11" t="n">
        <v>495</v>
      </c>
      <c r="D25" s="12" t="n">
        <v>0</v>
      </c>
      <c r="E25" s="11" t="n">
        <v>165</v>
      </c>
      <c r="F25" s="13" t="s">
        <v>13</v>
      </c>
      <c r="G25" s="13"/>
      <c r="H25" s="13"/>
      <c r="I25" s="13"/>
      <c r="J25" s="13"/>
      <c r="K25" s="10" t="s">
        <v>92</v>
      </c>
    </row>
    <row r="26" customFormat="false" ht="18" hidden="false" customHeight="true" outlineLevel="0" collapsed="false">
      <c r="A26" s="9" t="n">
        <v>24</v>
      </c>
      <c r="B26" s="10" t="s">
        <v>61</v>
      </c>
      <c r="C26" s="11" t="n">
        <v>495</v>
      </c>
      <c r="D26" s="12" t="n">
        <v>0</v>
      </c>
      <c r="E26" s="11" t="n">
        <v>10</v>
      </c>
      <c r="F26" s="13"/>
      <c r="G26" s="13"/>
      <c r="H26" s="13"/>
      <c r="I26" s="13" t="s">
        <v>13</v>
      </c>
      <c r="J26" s="13"/>
      <c r="K26" s="10" t="s">
        <v>62</v>
      </c>
    </row>
    <row r="27" customFormat="false" ht="18" hidden="false" customHeight="true" outlineLevel="0" collapsed="false">
      <c r="A27" s="4" t="n">
        <v>25</v>
      </c>
      <c r="B27" s="5" t="s">
        <v>63</v>
      </c>
      <c r="C27" s="6" t="n">
        <v>495</v>
      </c>
      <c r="D27" s="7" t="n">
        <v>0</v>
      </c>
      <c r="E27" s="6" t="n">
        <v>35</v>
      </c>
      <c r="F27" s="8" t="s">
        <v>13</v>
      </c>
      <c r="G27" s="8"/>
      <c r="H27" s="8"/>
      <c r="I27" s="8"/>
      <c r="J27" s="8"/>
      <c r="K27" s="5" t="s">
        <v>64</v>
      </c>
    </row>
    <row r="28" customFormat="false" ht="18" hidden="false" customHeight="true" outlineLevel="0" collapsed="false">
      <c r="A28" s="9" t="n">
        <v>26</v>
      </c>
      <c r="B28" s="10" t="s">
        <v>65</v>
      </c>
      <c r="C28" s="11" t="n">
        <v>495</v>
      </c>
      <c r="D28" s="12" t="n">
        <v>25</v>
      </c>
      <c r="E28" s="11" t="n">
        <v>5</v>
      </c>
      <c r="F28" s="13"/>
      <c r="G28" s="13" t="s">
        <v>13</v>
      </c>
      <c r="H28" s="13"/>
      <c r="I28" s="13"/>
      <c r="J28" s="13"/>
      <c r="K28" s="10" t="s">
        <v>66</v>
      </c>
    </row>
    <row r="29" customFormat="false" ht="33" hidden="false" customHeight="true" outlineLevel="0" collapsed="false">
      <c r="A29" s="4" t="n">
        <v>27</v>
      </c>
      <c r="B29" s="5" t="s">
        <v>67</v>
      </c>
      <c r="C29" s="6" t="n">
        <v>495</v>
      </c>
      <c r="D29" s="7" t="n">
        <v>0</v>
      </c>
      <c r="E29" s="6" t="n">
        <v>4320</v>
      </c>
      <c r="F29" s="8"/>
      <c r="G29" s="8"/>
      <c r="H29" s="8"/>
      <c r="I29" s="8"/>
      <c r="J29" s="8" t="s">
        <v>13</v>
      </c>
      <c r="K29" s="5" t="s">
        <v>68</v>
      </c>
    </row>
    <row r="31" customFormat="false" ht="15" hidden="false" customHeight="false" outlineLevel="0" collapsed="false">
      <c r="B31" s="14" t="s">
        <v>69</v>
      </c>
      <c r="D31" s="15" t="n">
        <f aca="false">SUM(D3:D29)</f>
        <v>84</v>
      </c>
      <c r="E31" s="16" t="n">
        <f aca="false">SUM(E3:E29)</f>
        <v>5787</v>
      </c>
      <c r="F31" s="15" t="n">
        <f aca="false">COUNTA(F3:F29)</f>
        <v>13</v>
      </c>
      <c r="G31" s="15" t="n">
        <f aca="false">COUNTA(G3:G29)</f>
        <v>5</v>
      </c>
      <c r="H31" s="15" t="n">
        <f aca="false">COUNTA(H3:H29)</f>
        <v>2</v>
      </c>
      <c r="I31" s="15" t="n">
        <f aca="false">COUNTA(I3:I29)</f>
        <v>5</v>
      </c>
      <c r="J31" s="15" t="n">
        <f aca="false">COUNTA(J3:J29)</f>
        <v>2</v>
      </c>
      <c r="K31" s="17" t="s">
        <v>70</v>
      </c>
    </row>
    <row r="33" customFormat="false" ht="111.75" hidden="false" customHeight="true" outlineLevel="0" collapsed="false">
      <c r="A33" s="18" t="s">
        <v>93</v>
      </c>
      <c r="B33" s="18"/>
      <c r="C33" s="18"/>
      <c r="D33" s="18"/>
      <c r="E33" s="18"/>
      <c r="F33" s="18"/>
      <c r="G33" s="18"/>
      <c r="H33" s="18"/>
      <c r="I33" s="18"/>
      <c r="J33" s="18"/>
      <c r="K33" s="18"/>
    </row>
    <row r="35" customFormat="false" ht="39.75" hidden="false" customHeight="true" outlineLevel="0" collapsed="false">
      <c r="A35" s="21"/>
      <c r="B35" s="21"/>
      <c r="C35" s="21"/>
      <c r="D35" s="21"/>
      <c r="E35" s="21"/>
      <c r="F35" s="21"/>
      <c r="G35" s="21"/>
      <c r="H35" s="21"/>
      <c r="I35" s="21"/>
      <c r="J35" s="21"/>
      <c r="K35" s="21"/>
    </row>
  </sheetData>
  <mergeCells count="3">
    <mergeCell ref="A1:K1"/>
    <mergeCell ref="A33:K33"/>
    <mergeCell ref="A35:K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A5FA"/>
    <pageSetUpPr fitToPage="false"/>
  </sheetPr>
  <dimension ref="A1:K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3"/>
    <col collapsed="false" customWidth="true" hidden="false" outlineLevel="0" max="6" min="6" style="0" width="5"/>
    <col collapsed="false" customWidth="true" hidden="false" outlineLevel="0" max="11" min="11" style="0" width="86"/>
  </cols>
  <sheetData>
    <row r="1" customFormat="false" ht="27.75" hidden="false" customHeight="true" outlineLevel="0" collapsed="false">
      <c r="A1" s="1" t="s">
        <v>94</v>
      </c>
      <c r="B1" s="1"/>
      <c r="C1" s="1"/>
      <c r="D1" s="1"/>
      <c r="E1" s="1"/>
      <c r="F1" s="1"/>
      <c r="G1" s="1"/>
      <c r="H1" s="1"/>
      <c r="I1" s="1"/>
      <c r="J1" s="1"/>
      <c r="K1" s="1"/>
    </row>
    <row r="2" customFormat="false" ht="31.5" hidden="false" customHeight="true" outlineLevel="0" collapsed="false">
      <c r="A2" s="2" t="s">
        <v>1</v>
      </c>
      <c r="B2" s="2" t="s">
        <v>2</v>
      </c>
      <c r="C2" s="2" t="s">
        <v>3</v>
      </c>
      <c r="D2" s="2" t="s">
        <v>4</v>
      </c>
      <c r="E2" s="2" t="s">
        <v>5</v>
      </c>
      <c r="F2" s="3" t="s">
        <v>6</v>
      </c>
      <c r="G2" s="3" t="s">
        <v>7</v>
      </c>
      <c r="H2" s="3" t="s">
        <v>8</v>
      </c>
      <c r="I2" s="3" t="s">
        <v>9</v>
      </c>
      <c r="J2" s="3" t="s">
        <v>10</v>
      </c>
      <c r="K2" s="2" t="s">
        <v>11</v>
      </c>
    </row>
    <row r="3" customFormat="false" ht="33" hidden="false" customHeight="true" outlineLevel="0" collapsed="false">
      <c r="A3" s="4" t="n">
        <v>1</v>
      </c>
      <c r="B3" s="5" t="s">
        <v>12</v>
      </c>
      <c r="C3" s="6" t="n">
        <v>4500</v>
      </c>
      <c r="D3" s="7" t="n">
        <v>0</v>
      </c>
      <c r="E3" s="6" t="n">
        <v>30</v>
      </c>
      <c r="F3" s="8" t="s">
        <v>13</v>
      </c>
      <c r="G3" s="8"/>
      <c r="H3" s="8"/>
      <c r="I3" s="8"/>
      <c r="J3" s="8"/>
      <c r="K3" s="5" t="s">
        <v>14</v>
      </c>
    </row>
    <row r="4" customFormat="false" ht="33" hidden="false" customHeight="true" outlineLevel="0" collapsed="false">
      <c r="A4" s="9" t="n">
        <v>2</v>
      </c>
      <c r="B4" s="10" t="s">
        <v>15</v>
      </c>
      <c r="C4" s="11" t="n">
        <v>4500</v>
      </c>
      <c r="D4" s="12" t="n">
        <v>0</v>
      </c>
      <c r="E4" s="11" t="n">
        <v>20</v>
      </c>
      <c r="F4" s="13"/>
      <c r="G4" s="13"/>
      <c r="H4" s="13"/>
      <c r="I4" s="13" t="s">
        <v>13</v>
      </c>
      <c r="J4" s="13"/>
      <c r="K4" s="10" t="s">
        <v>16</v>
      </c>
    </row>
    <row r="5" customFormat="false" ht="33" hidden="false" customHeight="true" outlineLevel="0" collapsed="false">
      <c r="A5" s="4" t="n">
        <v>3</v>
      </c>
      <c r="B5" s="5" t="s">
        <v>17</v>
      </c>
      <c r="C5" s="6" t="n">
        <v>4500</v>
      </c>
      <c r="D5" s="7" t="n">
        <v>0</v>
      </c>
      <c r="E5" s="6" t="n">
        <v>720</v>
      </c>
      <c r="F5" s="8"/>
      <c r="G5" s="8"/>
      <c r="H5" s="8"/>
      <c r="I5" s="8"/>
      <c r="J5" s="8" t="s">
        <v>13</v>
      </c>
      <c r="K5" s="5" t="s">
        <v>18</v>
      </c>
    </row>
    <row r="6" customFormat="false" ht="33" hidden="false" customHeight="true" outlineLevel="0" collapsed="false">
      <c r="A6" s="9" t="n">
        <v>4</v>
      </c>
      <c r="B6" s="10" t="s">
        <v>19</v>
      </c>
      <c r="C6" s="11" t="n">
        <v>4500</v>
      </c>
      <c r="D6" s="12" t="n">
        <v>25</v>
      </c>
      <c r="E6" s="11" t="n">
        <v>5</v>
      </c>
      <c r="F6" s="13"/>
      <c r="G6" s="13" t="s">
        <v>13</v>
      </c>
      <c r="H6" s="13"/>
      <c r="I6" s="13"/>
      <c r="J6" s="13"/>
      <c r="K6" s="10" t="s">
        <v>20</v>
      </c>
    </row>
    <row r="7" customFormat="false" ht="33" hidden="false" customHeight="true" outlineLevel="0" collapsed="false">
      <c r="A7" s="4" t="n">
        <v>5</v>
      </c>
      <c r="B7" s="5" t="s">
        <v>21</v>
      </c>
      <c r="C7" s="6" t="n">
        <v>4500</v>
      </c>
      <c r="D7" s="7" t="n">
        <v>0</v>
      </c>
      <c r="E7" s="6" t="n">
        <v>0</v>
      </c>
      <c r="F7" s="8" t="s">
        <v>13</v>
      </c>
      <c r="G7" s="8"/>
      <c r="H7" s="8"/>
      <c r="I7" s="8"/>
      <c r="J7" s="8"/>
      <c r="K7" s="5" t="s">
        <v>22</v>
      </c>
    </row>
    <row r="8" customFormat="false" ht="33" hidden="false" customHeight="true" outlineLevel="0" collapsed="false">
      <c r="A8" s="9" t="n">
        <v>6</v>
      </c>
      <c r="B8" s="10" t="s">
        <v>23</v>
      </c>
      <c r="C8" s="11" t="n">
        <v>4500</v>
      </c>
      <c r="D8" s="12" t="n">
        <v>0</v>
      </c>
      <c r="E8" s="11" t="n">
        <v>54</v>
      </c>
      <c r="F8" s="13" t="s">
        <v>13</v>
      </c>
      <c r="G8" s="13"/>
      <c r="H8" s="13"/>
      <c r="I8" s="13"/>
      <c r="J8" s="13"/>
      <c r="K8" s="10" t="s">
        <v>24</v>
      </c>
    </row>
    <row r="9" customFormat="false" ht="18" hidden="false" customHeight="true" outlineLevel="0" collapsed="false">
      <c r="A9" s="4" t="n">
        <v>7</v>
      </c>
      <c r="B9" s="5" t="s">
        <v>25</v>
      </c>
      <c r="C9" s="6" t="n">
        <v>4500</v>
      </c>
      <c r="D9" s="7" t="n">
        <v>12</v>
      </c>
      <c r="E9" s="6" t="n">
        <v>3</v>
      </c>
      <c r="F9" s="8"/>
      <c r="G9" s="8" t="s">
        <v>13</v>
      </c>
      <c r="H9" s="8"/>
      <c r="I9" s="8"/>
      <c r="J9" s="8"/>
      <c r="K9" s="5" t="s">
        <v>26</v>
      </c>
    </row>
    <row r="10" customFormat="false" ht="33" hidden="false" customHeight="true" outlineLevel="0" collapsed="false">
      <c r="A10" s="9" t="n">
        <v>8</v>
      </c>
      <c r="B10" s="10" t="s">
        <v>27</v>
      </c>
      <c r="C10" s="11" t="n">
        <v>4500</v>
      </c>
      <c r="D10" s="12" t="n">
        <v>0</v>
      </c>
      <c r="E10" s="11" t="n">
        <v>30</v>
      </c>
      <c r="F10" s="13" t="s">
        <v>13</v>
      </c>
      <c r="G10" s="13"/>
      <c r="H10" s="13"/>
      <c r="I10" s="13"/>
      <c r="J10" s="13"/>
      <c r="K10" s="10" t="s">
        <v>28</v>
      </c>
    </row>
    <row r="11" customFormat="false" ht="33" hidden="false" customHeight="true" outlineLevel="0" collapsed="false">
      <c r="A11" s="4" t="n">
        <v>9</v>
      </c>
      <c r="B11" s="5" t="s">
        <v>29</v>
      </c>
      <c r="C11" s="6" t="n">
        <v>4500</v>
      </c>
      <c r="D11" s="7" t="n">
        <v>0</v>
      </c>
      <c r="E11" s="6" t="n">
        <v>30</v>
      </c>
      <c r="F11" s="8" t="s">
        <v>13</v>
      </c>
      <c r="G11" s="8"/>
      <c r="H11" s="8"/>
      <c r="I11" s="8"/>
      <c r="J11" s="8"/>
      <c r="K11" s="5" t="s">
        <v>95</v>
      </c>
    </row>
    <row r="12" customFormat="false" ht="18" hidden="false" customHeight="true" outlineLevel="0" collapsed="false">
      <c r="A12" s="9" t="n">
        <v>10</v>
      </c>
      <c r="B12" s="10" t="s">
        <v>31</v>
      </c>
      <c r="C12" s="11" t="n">
        <v>4500</v>
      </c>
      <c r="D12" s="12" t="n">
        <v>0</v>
      </c>
      <c r="E12" s="11" t="n">
        <v>5</v>
      </c>
      <c r="F12" s="13"/>
      <c r="G12" s="13"/>
      <c r="H12" s="13"/>
      <c r="I12" s="13" t="s">
        <v>13</v>
      </c>
      <c r="J12" s="13"/>
      <c r="K12" s="10" t="s">
        <v>32</v>
      </c>
    </row>
    <row r="13" customFormat="false" ht="18" hidden="false" customHeight="true" outlineLevel="0" collapsed="false">
      <c r="A13" s="4" t="n">
        <v>11</v>
      </c>
      <c r="B13" s="5" t="s">
        <v>33</v>
      </c>
      <c r="C13" s="6" t="n">
        <v>4500</v>
      </c>
      <c r="D13" s="7" t="n">
        <v>0</v>
      </c>
      <c r="E13" s="6" t="n">
        <v>15</v>
      </c>
      <c r="F13" s="8" t="s">
        <v>13</v>
      </c>
      <c r="G13" s="8"/>
      <c r="H13" s="8"/>
      <c r="I13" s="8"/>
      <c r="J13" s="8"/>
      <c r="K13" s="5" t="s">
        <v>34</v>
      </c>
    </row>
    <row r="14" customFormat="false" ht="33" hidden="false" customHeight="true" outlineLevel="0" collapsed="false">
      <c r="A14" s="9" t="n">
        <v>12</v>
      </c>
      <c r="B14" s="10" t="s">
        <v>96</v>
      </c>
      <c r="C14" s="11" t="n">
        <v>4500</v>
      </c>
      <c r="D14" s="12" t="n">
        <v>0</v>
      </c>
      <c r="E14" s="11" t="n">
        <v>40</v>
      </c>
      <c r="F14" s="13" t="s">
        <v>13</v>
      </c>
      <c r="G14" s="13"/>
      <c r="H14" s="13"/>
      <c r="I14" s="13"/>
      <c r="J14" s="13"/>
      <c r="K14" s="10" t="s">
        <v>97</v>
      </c>
    </row>
    <row r="15" customFormat="false" ht="33" hidden="false" customHeight="true" outlineLevel="0" collapsed="false">
      <c r="A15" s="4" t="n">
        <v>13</v>
      </c>
      <c r="B15" s="5" t="s">
        <v>37</v>
      </c>
      <c r="C15" s="6" t="n">
        <v>4500</v>
      </c>
      <c r="D15" s="7" t="n">
        <v>0</v>
      </c>
      <c r="E15" s="6" t="n">
        <v>30</v>
      </c>
      <c r="F15" s="8" t="s">
        <v>13</v>
      </c>
      <c r="G15" s="8"/>
      <c r="H15" s="8"/>
      <c r="I15" s="8"/>
      <c r="J15" s="8"/>
      <c r="K15" s="5" t="s">
        <v>76</v>
      </c>
    </row>
    <row r="16" customFormat="false" ht="33" hidden="false" customHeight="true" outlineLevel="0" collapsed="false">
      <c r="A16" s="9" t="n">
        <v>14</v>
      </c>
      <c r="B16" s="10" t="s">
        <v>98</v>
      </c>
      <c r="C16" s="11" t="n">
        <v>585</v>
      </c>
      <c r="D16" s="12" t="n">
        <v>0</v>
      </c>
      <c r="E16" s="11" t="n">
        <v>15</v>
      </c>
      <c r="F16" s="13" t="s">
        <v>13</v>
      </c>
      <c r="G16" s="13"/>
      <c r="H16" s="13"/>
      <c r="I16" s="13"/>
      <c r="J16" s="13"/>
      <c r="K16" s="10" t="s">
        <v>99</v>
      </c>
    </row>
    <row r="17" customFormat="false" ht="33" hidden="false" customHeight="true" outlineLevel="0" collapsed="false">
      <c r="A17" s="4" t="n">
        <v>15</v>
      </c>
      <c r="B17" s="5" t="s">
        <v>100</v>
      </c>
      <c r="C17" s="6" t="n">
        <v>585</v>
      </c>
      <c r="D17" s="7" t="n">
        <v>10</v>
      </c>
      <c r="E17" s="6" t="n">
        <v>10</v>
      </c>
      <c r="F17" s="8"/>
      <c r="G17" s="8" t="s">
        <v>13</v>
      </c>
      <c r="H17" s="8"/>
      <c r="I17" s="8"/>
      <c r="J17" s="8"/>
      <c r="K17" s="5" t="s">
        <v>101</v>
      </c>
    </row>
    <row r="18" customFormat="false" ht="18" hidden="false" customHeight="true" outlineLevel="0" collapsed="false">
      <c r="A18" s="9" t="n">
        <v>16</v>
      </c>
      <c r="B18" s="10" t="s">
        <v>47</v>
      </c>
      <c r="C18" s="11" t="n">
        <v>585</v>
      </c>
      <c r="D18" s="12" t="n">
        <v>0</v>
      </c>
      <c r="E18" s="11" t="n">
        <v>25</v>
      </c>
      <c r="F18" s="13" t="s">
        <v>13</v>
      </c>
      <c r="G18" s="13"/>
      <c r="H18" s="13"/>
      <c r="I18" s="13"/>
      <c r="J18" s="13"/>
      <c r="K18" s="10" t="s">
        <v>102</v>
      </c>
    </row>
    <row r="19" customFormat="false" ht="18" hidden="false" customHeight="true" outlineLevel="0" collapsed="false">
      <c r="A19" s="4" t="n">
        <v>17</v>
      </c>
      <c r="B19" s="5" t="s">
        <v>103</v>
      </c>
      <c r="C19" s="6" t="n">
        <v>504</v>
      </c>
      <c r="D19" s="7" t="n">
        <v>0</v>
      </c>
      <c r="E19" s="6" t="n">
        <v>75</v>
      </c>
      <c r="F19" s="8" t="s">
        <v>13</v>
      </c>
      <c r="G19" s="8"/>
      <c r="H19" s="8"/>
      <c r="I19" s="8"/>
      <c r="J19" s="8"/>
      <c r="K19" s="5" t="s">
        <v>104</v>
      </c>
    </row>
    <row r="20" customFormat="false" ht="18" hidden="false" customHeight="true" outlineLevel="0" collapsed="false">
      <c r="A20" s="9" t="n">
        <v>18</v>
      </c>
      <c r="B20" s="10" t="s">
        <v>51</v>
      </c>
      <c r="C20" s="11" t="n">
        <v>504</v>
      </c>
      <c r="D20" s="12" t="n">
        <v>0</v>
      </c>
      <c r="E20" s="11" t="n">
        <v>5</v>
      </c>
      <c r="F20" s="13"/>
      <c r="G20" s="13"/>
      <c r="H20" s="13"/>
      <c r="I20" s="13" t="s">
        <v>13</v>
      </c>
      <c r="J20" s="13"/>
      <c r="K20" s="10" t="s">
        <v>52</v>
      </c>
    </row>
    <row r="21" customFormat="false" ht="18" hidden="false" customHeight="true" outlineLevel="0" collapsed="false">
      <c r="A21" s="4" t="n">
        <v>19</v>
      </c>
      <c r="B21" s="5" t="s">
        <v>105</v>
      </c>
      <c r="C21" s="6" t="n">
        <v>504</v>
      </c>
      <c r="D21" s="7" t="n">
        <v>15</v>
      </c>
      <c r="E21" s="6" t="n">
        <v>15</v>
      </c>
      <c r="F21" s="8"/>
      <c r="G21" s="8" t="s">
        <v>13</v>
      </c>
      <c r="H21" s="8"/>
      <c r="I21" s="8"/>
      <c r="J21" s="8"/>
      <c r="K21" s="5" t="s">
        <v>106</v>
      </c>
    </row>
    <row r="22" customFormat="false" ht="33" hidden="false" customHeight="true" outlineLevel="0" collapsed="false">
      <c r="A22" s="9" t="n">
        <v>20</v>
      </c>
      <c r="B22" s="10" t="s">
        <v>107</v>
      </c>
      <c r="C22" s="11" t="n">
        <v>486</v>
      </c>
      <c r="D22" s="12" t="n">
        <v>0</v>
      </c>
      <c r="E22" s="11" t="n">
        <v>2160</v>
      </c>
      <c r="F22" s="13" t="s">
        <v>13</v>
      </c>
      <c r="G22" s="13"/>
      <c r="H22" s="13"/>
      <c r="I22" s="13"/>
      <c r="J22" s="13"/>
      <c r="K22" s="10" t="s">
        <v>108</v>
      </c>
    </row>
    <row r="23" customFormat="false" ht="18" hidden="false" customHeight="true" outlineLevel="0" collapsed="false">
      <c r="A23" s="4" t="n">
        <v>21</v>
      </c>
      <c r="B23" s="5" t="s">
        <v>109</v>
      </c>
      <c r="C23" s="6" t="n">
        <v>486</v>
      </c>
      <c r="D23" s="7" t="n">
        <v>0</v>
      </c>
      <c r="E23" s="6" t="n">
        <v>720</v>
      </c>
      <c r="F23" s="8"/>
      <c r="G23" s="8"/>
      <c r="H23" s="8" t="s">
        <v>13</v>
      </c>
      <c r="I23" s="8"/>
      <c r="J23" s="8"/>
      <c r="K23" s="5" t="s">
        <v>110</v>
      </c>
    </row>
    <row r="24" customFormat="false" ht="18" hidden="false" customHeight="true" outlineLevel="0" collapsed="false">
      <c r="A24" s="9" t="n">
        <v>22</v>
      </c>
      <c r="B24" s="10" t="s">
        <v>111</v>
      </c>
      <c r="C24" s="11" t="n">
        <v>486</v>
      </c>
      <c r="D24" s="12" t="n">
        <v>30</v>
      </c>
      <c r="E24" s="11" t="n">
        <v>8</v>
      </c>
      <c r="F24" s="13"/>
      <c r="G24" s="13" t="s">
        <v>13</v>
      </c>
      <c r="H24" s="13"/>
      <c r="I24" s="13"/>
      <c r="J24" s="13"/>
      <c r="K24" s="10" t="s">
        <v>112</v>
      </c>
    </row>
    <row r="25" customFormat="false" ht="33" hidden="false" customHeight="true" outlineLevel="0" collapsed="false">
      <c r="A25" s="4" t="n">
        <v>23</v>
      </c>
      <c r="B25" s="5" t="s">
        <v>113</v>
      </c>
      <c r="C25" s="6" t="n">
        <v>486</v>
      </c>
      <c r="D25" s="7" t="n">
        <v>0</v>
      </c>
      <c r="E25" s="6" t="n">
        <v>216000</v>
      </c>
      <c r="F25" s="8" t="s">
        <v>13</v>
      </c>
      <c r="G25" s="8"/>
      <c r="H25" s="8"/>
      <c r="I25" s="8"/>
      <c r="J25" s="8"/>
      <c r="K25" s="5" t="s">
        <v>114</v>
      </c>
    </row>
    <row r="26" customFormat="false" ht="33" hidden="false" customHeight="true" outlineLevel="0" collapsed="false">
      <c r="A26" s="9" t="n">
        <v>24</v>
      </c>
      <c r="B26" s="10" t="s">
        <v>115</v>
      </c>
      <c r="C26" s="11" t="n">
        <v>450</v>
      </c>
      <c r="D26" s="12" t="n">
        <v>0</v>
      </c>
      <c r="E26" s="11" t="n">
        <v>30</v>
      </c>
      <c r="F26" s="13"/>
      <c r="G26" s="13"/>
      <c r="H26" s="13"/>
      <c r="I26" s="13" t="s">
        <v>13</v>
      </c>
      <c r="J26" s="13"/>
      <c r="K26" s="10" t="s">
        <v>116</v>
      </c>
    </row>
    <row r="27" customFormat="false" ht="33" hidden="false" customHeight="true" outlineLevel="0" collapsed="false">
      <c r="A27" s="9" t="n">
        <v>25</v>
      </c>
      <c r="B27" s="10" t="s">
        <v>117</v>
      </c>
      <c r="C27" s="11" t="n">
        <v>450</v>
      </c>
      <c r="D27" s="12" t="n">
        <v>0</v>
      </c>
      <c r="E27" s="11" t="n">
        <v>150</v>
      </c>
      <c r="F27" s="13" t="s">
        <v>13</v>
      </c>
      <c r="G27" s="13"/>
      <c r="H27" s="13"/>
      <c r="I27" s="13"/>
      <c r="J27" s="13"/>
      <c r="K27" s="10" t="s">
        <v>118</v>
      </c>
    </row>
    <row r="28" customFormat="false" ht="18" hidden="false" customHeight="true" outlineLevel="0" collapsed="false">
      <c r="A28" s="4" t="n">
        <v>26</v>
      </c>
      <c r="B28" s="5" t="s">
        <v>57</v>
      </c>
      <c r="C28" s="6" t="n">
        <v>450</v>
      </c>
      <c r="D28" s="7" t="n">
        <v>30</v>
      </c>
      <c r="E28" s="6" t="n">
        <v>6</v>
      </c>
      <c r="F28" s="8"/>
      <c r="G28" s="8" t="s">
        <v>13</v>
      </c>
      <c r="H28" s="8"/>
      <c r="I28" s="8"/>
      <c r="J28" s="8"/>
      <c r="K28" s="5" t="s">
        <v>58</v>
      </c>
    </row>
    <row r="29" customFormat="false" ht="33" hidden="false" customHeight="true" outlineLevel="0" collapsed="false">
      <c r="A29" s="9" t="n">
        <v>27</v>
      </c>
      <c r="B29" s="10" t="s">
        <v>119</v>
      </c>
      <c r="C29" s="11" t="n">
        <v>450</v>
      </c>
      <c r="D29" s="12" t="n">
        <v>0</v>
      </c>
      <c r="E29" s="11" t="n">
        <v>333</v>
      </c>
      <c r="F29" s="13" t="s">
        <v>13</v>
      </c>
      <c r="G29" s="13"/>
      <c r="H29" s="13"/>
      <c r="I29" s="13"/>
      <c r="J29" s="13"/>
      <c r="K29" s="10" t="s">
        <v>120</v>
      </c>
    </row>
    <row r="30" customFormat="false" ht="18" hidden="false" customHeight="true" outlineLevel="0" collapsed="false">
      <c r="A30" s="9" t="n">
        <v>28</v>
      </c>
      <c r="B30" s="10" t="s">
        <v>61</v>
      </c>
      <c r="C30" s="11" t="n">
        <v>450</v>
      </c>
      <c r="D30" s="12" t="n">
        <v>0</v>
      </c>
      <c r="E30" s="11" t="n">
        <v>10</v>
      </c>
      <c r="F30" s="13"/>
      <c r="G30" s="13"/>
      <c r="H30" s="13"/>
      <c r="I30" s="13" t="s">
        <v>13</v>
      </c>
      <c r="J30" s="13"/>
      <c r="K30" s="10" t="s">
        <v>62</v>
      </c>
    </row>
    <row r="31" customFormat="false" ht="18" hidden="false" customHeight="true" outlineLevel="0" collapsed="false">
      <c r="A31" s="4" t="n">
        <v>29</v>
      </c>
      <c r="B31" s="5" t="s">
        <v>63</v>
      </c>
      <c r="C31" s="6" t="n">
        <v>450</v>
      </c>
      <c r="D31" s="7" t="n">
        <v>0</v>
      </c>
      <c r="E31" s="6" t="n">
        <v>30</v>
      </c>
      <c r="F31" s="8" t="s">
        <v>13</v>
      </c>
      <c r="G31" s="8"/>
      <c r="H31" s="8"/>
      <c r="I31" s="8"/>
      <c r="J31" s="8"/>
      <c r="K31" s="5" t="s">
        <v>64</v>
      </c>
    </row>
    <row r="32" customFormat="false" ht="18" hidden="false" customHeight="true" outlineLevel="0" collapsed="false">
      <c r="A32" s="9" t="n">
        <v>30</v>
      </c>
      <c r="B32" s="10" t="s">
        <v>65</v>
      </c>
      <c r="C32" s="11" t="n">
        <v>450</v>
      </c>
      <c r="D32" s="12" t="n">
        <v>25</v>
      </c>
      <c r="E32" s="11" t="n">
        <v>5</v>
      </c>
      <c r="F32" s="13"/>
      <c r="G32" s="13" t="s">
        <v>13</v>
      </c>
      <c r="H32" s="13"/>
      <c r="I32" s="13"/>
      <c r="J32" s="13"/>
      <c r="K32" s="10" t="s">
        <v>66</v>
      </c>
    </row>
    <row r="33" customFormat="false" ht="33" hidden="false" customHeight="true" outlineLevel="0" collapsed="false">
      <c r="A33" s="4" t="n">
        <v>31</v>
      </c>
      <c r="B33" s="5" t="s">
        <v>67</v>
      </c>
      <c r="C33" s="6" t="n">
        <v>450</v>
      </c>
      <c r="D33" s="7" t="n">
        <v>0</v>
      </c>
      <c r="E33" s="6" t="n">
        <v>7200</v>
      </c>
      <c r="F33" s="8"/>
      <c r="G33" s="8"/>
      <c r="H33" s="8"/>
      <c r="I33" s="8"/>
      <c r="J33" s="8" t="s">
        <v>13</v>
      </c>
      <c r="K33" s="5" t="s">
        <v>121</v>
      </c>
    </row>
    <row r="35" customFormat="false" ht="15" hidden="false" customHeight="false" outlineLevel="0" collapsed="false">
      <c r="B35" s="14" t="s">
        <v>69</v>
      </c>
      <c r="D35" s="15" t="n">
        <f aca="false">SUM(D3:D33)</f>
        <v>147</v>
      </c>
      <c r="E35" s="16" t="n">
        <f aca="false">SUM(E3:E33)</f>
        <v>227779</v>
      </c>
      <c r="F35" s="15" t="n">
        <f aca="false">COUNTA(F3:F33)</f>
        <v>16</v>
      </c>
      <c r="G35" s="15" t="n">
        <f aca="false">COUNTA(G3:G33)</f>
        <v>7</v>
      </c>
      <c r="H35" s="15" t="n">
        <f aca="false">COUNTA(H3:H33)</f>
        <v>1</v>
      </c>
      <c r="I35" s="15" t="n">
        <f aca="false">COUNTA(I3:I33)</f>
        <v>5</v>
      </c>
      <c r="J35" s="15" t="n">
        <f aca="false">COUNTA(J3:J33)</f>
        <v>2</v>
      </c>
      <c r="K35" s="17" t="s">
        <v>70</v>
      </c>
    </row>
    <row r="37" customFormat="false" ht="111.75" hidden="false" customHeight="true" outlineLevel="0" collapsed="false">
      <c r="A37" s="18" t="s">
        <v>122</v>
      </c>
      <c r="B37" s="18"/>
      <c r="C37" s="18"/>
      <c r="D37" s="18"/>
      <c r="E37" s="18"/>
      <c r="F37" s="18"/>
      <c r="G37" s="18"/>
      <c r="H37" s="18"/>
      <c r="I37" s="18"/>
      <c r="J37" s="18"/>
      <c r="K37" s="18"/>
    </row>
    <row r="39" customFormat="false" ht="39.75" hidden="false" customHeight="true" outlineLevel="0" collapsed="false">
      <c r="A39" s="21"/>
      <c r="B39" s="21"/>
      <c r="C39" s="21"/>
      <c r="D39" s="21"/>
      <c r="E39" s="21"/>
      <c r="F39" s="21"/>
      <c r="G39" s="21"/>
      <c r="H39" s="21"/>
      <c r="I39" s="21"/>
      <c r="J39" s="21"/>
      <c r="K39" s="21"/>
    </row>
  </sheetData>
  <mergeCells count="3">
    <mergeCell ref="A1:K1"/>
    <mergeCell ref="A37:K37"/>
    <mergeCell ref="A39:K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2026-10-13T02:19:39Z</dcterms:created>
  <dc:creator>openpyxl</dc:creator>
  <dc:description/>
  <dc:language>en-US</dc:language>
  <cp:lastModifiedBy>Juliana  Gongora Rasmussen</cp:lastModifiedBy>
  <dcterms:modified xsi:type="dcterms:W3CDTF">2026-10-13T07:11:15Z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