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82FE3214-6561-B24E-8102-798F8E289940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Matriz de decis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45" i="1"/>
  <c r="C44" i="1"/>
  <c r="C43" i="1"/>
  <c r="C39" i="1"/>
  <c r="C38" i="1"/>
  <c r="C37" i="1"/>
  <c r="C36" i="1"/>
  <c r="C35" i="1"/>
  <c r="C34" i="1"/>
  <c r="C32" i="1"/>
  <c r="C31" i="1"/>
  <c r="F22" i="1"/>
  <c r="E22" i="1"/>
  <c r="D22" i="1"/>
  <c r="C22" i="1"/>
  <c r="B22" i="1"/>
  <c r="B11" i="1"/>
  <c r="C42" i="1" l="1"/>
  <c r="E12" i="1"/>
  <c r="C41" i="1"/>
  <c r="D12" i="1"/>
  <c r="C12" i="1"/>
  <c r="H22" i="1"/>
  <c r="I22" i="1"/>
  <c r="G22" i="1"/>
  <c r="G23" i="1"/>
  <c r="G24" i="1"/>
  <c r="G25" i="1"/>
  <c r="G26" i="1"/>
  <c r="H23" i="1"/>
  <c r="H24" i="1"/>
  <c r="H25" i="1"/>
  <c r="H26" i="1"/>
  <c r="C40" i="1"/>
  <c r="I23" i="1"/>
  <c r="I24" i="1"/>
  <c r="I25" i="1"/>
  <c r="I26" i="1"/>
  <c r="E13" i="1" l="1"/>
  <c r="J22" i="1"/>
  <c r="J23" i="1"/>
  <c r="J26" i="1"/>
  <c r="D13" i="1"/>
  <c r="C13" i="1"/>
  <c r="J25" i="1"/>
  <c r="J24" i="1"/>
  <c r="I27" i="1" l="1"/>
  <c r="J27" i="1"/>
  <c r="G27" i="1"/>
  <c r="H27" i="1"/>
</calcChain>
</file>

<file path=xl/sharedStrings.xml><?xml version="1.0" encoding="utf-8"?>
<sst xmlns="http://schemas.openxmlformats.org/spreadsheetml/2006/main" count="77" uniqueCount="60">
  <si>
    <t>Matriz de decisión: ¿qué línea automatizamos?</t>
  </si>
  <si>
    <t>TABLA 1. MATRIZ DE DECISIÓN: 5 criterios</t>
  </si>
  <si>
    <t>Criterio</t>
  </si>
  <si>
    <t>Peso</t>
  </si>
  <si>
    <t>Yogures</t>
  </si>
  <si>
    <t>Quesos</t>
  </si>
  <si>
    <t>Leche UHT</t>
  </si>
  <si>
    <t>Cómo se puntúa</t>
  </si>
  <si>
    <t>A. Brecha de automatización</t>
  </si>
  <si>
    <t>Juicio con regla (Tabla 3). Qué tanto hay por instrumentar y controlar (niveles ISA-95).</t>
  </si>
  <si>
    <t>B. Diferenciación y modelo de recetas (ISA-88)</t>
  </si>
  <si>
    <t>Juicio con regla (Tabla 3). Cuánto cambian proceso, equipos y receta entre referencias.</t>
  </si>
  <si>
    <t>C. Complejidad de lotes y necesidad MES/ERP</t>
  </si>
  <si>
    <t>Juicio con regla (Tabla 3). Tiempos de lote distintos y cosas por rastrear (VSM, simulación).</t>
  </si>
  <si>
    <t>D. Madurez de la información para planear y cotizar</t>
  </si>
  <si>
    <t>Calculado: % de capas completas (EDT, presupuesto y cotizaciones necesitan datos).</t>
  </si>
  <si>
    <t>E. Información de mercado (propuesta de valor)</t>
  </si>
  <si>
    <t>Juicio con regla (Tabla 3) y fuentes citadas al final.</t>
  </si>
  <si>
    <t>Suma de pesos (debe ser 100 %)</t>
  </si>
  <si>
    <t>TOTAL PONDERADO</t>
  </si>
  <si>
    <t>TABLA 2. SENSIBILIDAD: ¿cambia el ganador si cambian los pesos? (mismos puntajes)</t>
  </si>
  <si>
    <t>Escenario de pesos</t>
  </si>
  <si>
    <t>A</t>
  </si>
  <si>
    <t>B</t>
  </si>
  <si>
    <t>C</t>
  </si>
  <si>
    <t>D</t>
  </si>
  <si>
    <t>E</t>
  </si>
  <si>
    <t>UHT</t>
  </si>
  <si>
    <t>Gana</t>
  </si>
  <si>
    <t>Base (propuesta del equipo)</t>
  </si>
  <si>
    <t>Pesos iguales</t>
  </si>
  <si>
    <t>Prioriza Módulo 1 · TDI (A+B = 60 %)</t>
  </si>
  <si>
    <t>Prioriza Módulo 2 · Gestión (C = 40 %)</t>
  </si>
  <si>
    <t>Prioriza Módulo 3 · Planeación (D+E = 70 %)</t>
  </si>
  <si>
    <t>Escenarios que gana cada línea</t>
  </si>
  <si>
    <t>TABLA 3. JUSTIFICACIÓN: regla, dato y razón de cada puntaje, línea por línea</t>
  </si>
  <si>
    <t>Criterio y regla</t>
  </si>
  <si>
    <t>Línea</t>
  </si>
  <si>
    <t>Puntaje</t>
  </si>
  <si>
    <t>Por qué ese puntaje</t>
  </si>
  <si>
    <t>A. Brecha de automatización (M1 · Capas 5, 6, 7)
Regla: 5 = nada instrumentado, todo por instalar. 4 = control local en equipos principales, calidad manual. 3 = equipos principales ya automatizados, faltan periféricos. 2 = casi todo automatizado. 1 = totalmente automatizado.</t>
  </si>
  <si>
    <t>4: la parte térmica ya está controlada, pero las variables que definen la calidad (pH, peso, sello, fruta) aún se miden a mano. Brecha grande, no total.</t>
  </si>
  <si>
    <t>5: según las capas, toda la instrumentación está por instalar. Advertencia: parte de esa brecha es información que falta (la línea base), no solo equipos.</t>
  </si>
  <si>
    <t>3: el núcleo del proceso ya está automatizado. Faltan periféricos y el empaque final.</t>
  </si>
  <si>
    <t>B. Diferenciación y modelo de recetas ISA-88 (M1 · Capas 1, 4, 11)
Regla: 5 = rutas con equipos, etapas y subproductos propios. 4 = dos etapas exclusivas. 3 = comparten el proceso central y difieren en 1–2 etapas, ingredientes o envase. 2 = solo ingredientes. 1 = casi idénticas.</t>
  </si>
  <si>
    <t>5: difieren en cultivo, tiempo, equipo exclusivo (UF), envase y subproducto. Se pueden modelar como tres recetas ISA-88 sobre un mismo modelo físico.</t>
  </si>
  <si>
    <t>5: cada referencia usa operaciones y equipos propios (prensa, hilado, salmuera, cámara de maduración). Sus parámetros de receta están en PENDING, pero eso se castiga en D, no aquí.</t>
  </si>
  <si>
    <t>3: el núcleo del proceso (UHT a 138–142 °C) es idéntico. Las diferencias son una etapa adicional o el envase.</t>
  </si>
  <si>
    <t>C. Complejidad de lotes y necesidad MES/ERP (M2 · Capas 3, 8, 10, 12)
Regla: 5 = lotes de horas a meses, inventario en proceso y subproducto grande que rastrear. 4 = ocupaciones de equipo muy distintas (más de 2 veces) y un subproducto. 3 = tiempos parecidos y un solo tipo de espera. 2 = tiempos casi iguales. 1 = un solo tipo de lote.</t>
  </si>
  <si>
    <t>4: ocupaciones muy distintas (hasta 3 veces) y un subproducto, pero el ciclo completo cabe en unos 3 días.</t>
  </si>
  <si>
    <t>5: combina lotes de horas con inventario en proceso de meses y un subproducto de gran volumen. Es la que más exige a la simulación de eventos discretos y a MES/ERP.</t>
  </si>
  <si>
    <t>3: los tres productos recorren el mismo ciclo con tiempos parecidos. Las únicas esperas especiales son la cuarentena y la hidrólisis.</t>
  </si>
  <si>
    <t>D. Madurez de la información para planear y cotizar (M3 · Capas 1 a 12)
Regla: % de capas completas (Completa = 1, Parcial = 0,5). 5 = 90 % o más. 4 = 80–89 %. 3 = 65–79 %. 2 = 50–64 %. 1 = menos de 50 %.</t>
  </si>
  <si>
    <t>E. Información de mercado (M3 · propuesta de valor; fuentes externas)
Regla: 5 = la categoría crece y Alpina es líder. 4 = crece y Alpina es 2.ª con cuota relevante. 3 = estable con cuota media. 2 = crecimiento bajo y Alpina sin cuota clara ni liderazgo. 1 = cae.</t>
  </si>
  <si>
    <t>5: la categoría crece y Alpina es líder, lo que sustenta la propuesta de valor. Límite: la cuota de 62,5 % es de 2014.</t>
  </si>
  <si>
    <t xml:space="preserve">5 (96 %): casi todo tiene valor para armar la EDT y cotizar. </t>
  </si>
  <si>
    <t xml:space="preserve">4 (83 %):Recetas mas dificiles de conseguir lo mismo que la instrumentación.Variables y equipos supuestos </t>
  </si>
  <si>
    <t xml:space="preserve">5 (96 %): Yogures menos supuestos en recetas y equipos </t>
  </si>
  <si>
    <t xml:space="preserve">4: Crecimiento y consumo alto </t>
  </si>
  <si>
    <t xml:space="preserve">2: Información menos accesible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</si>
</sst>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°&quot;"/>
  </numFmts>
  <fonts count="12" x14ac:knownFonts="1">
    <font>
      <sz val="11"/>
      <color theme="1"/>
      <name val="Calibri"/>
      <family val="2"/>
      <scheme val="minor"/>
    </font>
    <font>
      <b/>
      <sz val="18"/>
      <color rgb="FF4F6070"/>
      <name val="Calibri"/>
      <family val="2"/>
    </font>
    <font>
      <sz val="10"/>
      <color rgb="FF6B7785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sz val="9.5"/>
      <color rgb="FF000000"/>
      <name val="Calibri"/>
      <family val="2"/>
    </font>
    <font>
      <sz val="9"/>
      <color rgb="FF6B7785"/>
      <name val="Calibri"/>
      <family val="2"/>
    </font>
    <font>
      <b/>
      <sz val="10"/>
      <color rgb="FF000000"/>
      <name val="Calibri"/>
      <family val="2"/>
    </font>
    <font>
      <b/>
      <sz val="9.5"/>
      <color rgb="FF000000"/>
      <name val="Calibri"/>
      <family val="2"/>
    </font>
    <font>
      <b/>
      <sz val="12"/>
      <color rgb="FF1F3A5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4F6070"/>
      </patternFill>
    </fill>
    <fill>
      <patternFill patternType="solid">
        <fgColor rgb="FFE8EEF3"/>
      </patternFill>
    </fill>
  </fills>
  <borders count="9">
    <border>
      <left/>
      <right/>
      <top/>
      <bottom/>
      <diagonal/>
    </border>
    <border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>
      <left/>
      <right/>
      <top style="thin">
        <color rgb="FFC9D1D9"/>
      </top>
      <bottom/>
      <diagonal/>
    </border>
    <border>
      <left/>
      <right/>
      <top style="thin">
        <color rgb="FFC9D1D9"/>
      </top>
      <bottom style="thin">
        <color rgb="FFC9D1D9"/>
      </bottom>
      <diagonal/>
    </border>
    <border>
      <left/>
      <right style="thin">
        <color rgb="FFC9D1D9"/>
      </right>
      <top style="thin">
        <color rgb="FFC9D1D9"/>
      </top>
      <bottom style="thin">
        <color rgb="FFC9D1D9"/>
      </bottom>
      <diagonal/>
    </border>
    <border>
      <left style="thin">
        <color rgb="FFC9D1D9"/>
      </left>
      <right/>
      <top style="thin">
        <color rgb="FFC9D1D9"/>
      </top>
      <bottom style="thin">
        <color rgb="FFC9D1D9"/>
      </bottom>
      <diagonal/>
    </border>
    <border>
      <left/>
      <right/>
      <top/>
      <bottom style="thin">
        <color rgb="FFC9D1D9"/>
      </bottom>
      <diagonal/>
    </border>
    <border>
      <left style="thin">
        <color rgb="FFC9D1D9"/>
      </left>
      <right/>
      <top style="thin">
        <color rgb="FFC9D1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7" fillId="4" borderId="1" xfId="0" applyFont="1" applyFill="1" applyBorder="1" applyAlignment="1">
      <alignment horizontal="left" vertical="top" wrapText="1"/>
    </xf>
    <xf numFmtId="0" fontId="0" fillId="0" borderId="0" xfId="0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6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 patternType="solid">
          <bgColor rgb="FFE5E7EB"/>
        </patternFill>
      </fill>
    </dxf>
    <dxf>
      <fill>
        <patternFill patternType="solid">
          <bgColor rgb="FFD9F2E3"/>
        </patternFill>
      </fill>
    </dxf>
    <dxf>
      <fill>
        <patternFill patternType="solid">
          <bgColor rgb="FFBFE9FF"/>
        </patternFill>
      </fill>
    </dxf>
    <dxf>
      <fill>
        <patternFill patternType="solid">
          <bgColor rgb="FFFDE7C8"/>
        </patternFill>
      </fill>
    </dxf>
    <dxf>
      <fill>
        <patternFill patternType="solid">
          <bgColor rgb="FFE6F4EA"/>
        </patternFill>
      </fill>
    </dxf>
    <dxf>
      <font>
        <color rgb="FF1F3A5F"/>
      </font>
      <fill>
        <patternFill patternType="solid">
          <bgColor rgb="FFBFE9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7"/>
  <sheetViews>
    <sheetView showGridLines="0" tabSelected="1" zoomScale="90" zoomScaleNormal="100" workbookViewId="0">
      <selection activeCell="C45" sqref="C45"/>
    </sheetView>
  </sheetViews>
  <sheetFormatPr baseColWidth="10" defaultColWidth="8.83203125" defaultRowHeight="15" x14ac:dyDescent="0.2"/>
  <cols>
    <col min="1" max="1" width="38" customWidth="1"/>
    <col min="2" max="2" width="10" customWidth="1"/>
    <col min="3" max="3" width="19" customWidth="1"/>
    <col min="4" max="6" width="12" customWidth="1"/>
    <col min="7" max="9" width="13" customWidth="1"/>
    <col min="10" max="10" width="14" customWidth="1"/>
  </cols>
  <sheetData>
    <row r="1" spans="1:10" ht="24" x14ac:dyDescent="0.3">
      <c r="A1" s="25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40" customHeight="1" x14ac:dyDescent="0.2">
      <c r="A2" s="24"/>
      <c r="B2" s="21"/>
      <c r="C2" s="21"/>
      <c r="D2" s="21"/>
      <c r="E2" s="21"/>
      <c r="F2" s="21"/>
      <c r="G2" s="21"/>
      <c r="H2" s="21"/>
      <c r="I2" s="21"/>
      <c r="J2" s="21"/>
    </row>
    <row r="4" spans="1:10" ht="22" customHeight="1" x14ac:dyDescent="0.2">
      <c r="A4" s="22" t="s">
        <v>1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30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23" t="s">
        <v>7</v>
      </c>
      <c r="G5" s="19"/>
      <c r="H5" s="19"/>
      <c r="I5" s="19"/>
    </row>
    <row r="6" spans="1:10" ht="32" customHeight="1" x14ac:dyDescent="0.2">
      <c r="A6" s="2" t="s">
        <v>8</v>
      </c>
      <c r="B6" s="3">
        <v>0.2</v>
      </c>
      <c r="C6" s="4">
        <v>4</v>
      </c>
      <c r="D6" s="4">
        <v>5</v>
      </c>
      <c r="E6" s="4">
        <v>3</v>
      </c>
      <c r="F6" s="18" t="s">
        <v>9</v>
      </c>
      <c r="G6" s="19"/>
      <c r="H6" s="19"/>
      <c r="I6" s="19"/>
    </row>
    <row r="7" spans="1:10" ht="32" customHeight="1" x14ac:dyDescent="0.2">
      <c r="A7" s="2" t="s">
        <v>10</v>
      </c>
      <c r="B7" s="3">
        <v>0.2</v>
      </c>
      <c r="C7" s="4">
        <v>5</v>
      </c>
      <c r="D7" s="4">
        <v>5</v>
      </c>
      <c r="E7" s="4">
        <v>3</v>
      </c>
      <c r="F7" s="18" t="s">
        <v>11</v>
      </c>
      <c r="G7" s="19"/>
      <c r="H7" s="19"/>
      <c r="I7" s="19"/>
    </row>
    <row r="8" spans="1:10" ht="32" customHeight="1" x14ac:dyDescent="0.2">
      <c r="A8" s="2" t="s">
        <v>12</v>
      </c>
      <c r="B8" s="3">
        <v>0.2</v>
      </c>
      <c r="C8" s="4">
        <v>4</v>
      </c>
      <c r="D8" s="4">
        <v>5</v>
      </c>
      <c r="E8" s="4">
        <v>3</v>
      </c>
      <c r="F8" s="18" t="s">
        <v>13</v>
      </c>
      <c r="G8" s="19"/>
      <c r="H8" s="19"/>
      <c r="I8" s="19"/>
    </row>
    <row r="9" spans="1:10" ht="32" customHeight="1" x14ac:dyDescent="0.2">
      <c r="A9" s="2" t="s">
        <v>14</v>
      </c>
      <c r="B9" s="3">
        <v>0.25</v>
      </c>
      <c r="C9" s="4">
        <v>4</v>
      </c>
      <c r="D9" s="4">
        <v>4</v>
      </c>
      <c r="E9" s="4">
        <v>5</v>
      </c>
      <c r="F9" s="18" t="s">
        <v>15</v>
      </c>
      <c r="G9" s="19"/>
      <c r="H9" s="19"/>
      <c r="I9" s="19"/>
    </row>
    <row r="10" spans="1:10" ht="32" customHeight="1" x14ac:dyDescent="0.2">
      <c r="A10" s="2" t="s">
        <v>16</v>
      </c>
      <c r="B10" s="3">
        <v>0.15</v>
      </c>
      <c r="C10" s="4">
        <v>5</v>
      </c>
      <c r="D10" s="4">
        <v>4</v>
      </c>
      <c r="E10" s="4">
        <v>2</v>
      </c>
      <c r="F10" s="18" t="s">
        <v>17</v>
      </c>
      <c r="G10" s="19"/>
      <c r="H10" s="19"/>
      <c r="I10" s="19"/>
    </row>
    <row r="11" spans="1:10" x14ac:dyDescent="0.2">
      <c r="A11" s="6" t="s">
        <v>18</v>
      </c>
      <c r="B11" s="7">
        <f>SUM(B6:B10)</f>
        <v>1</v>
      </c>
    </row>
    <row r="12" spans="1:10" x14ac:dyDescent="0.2">
      <c r="A12" s="8" t="s">
        <v>19</v>
      </c>
      <c r="B12" s="9"/>
      <c r="C12" s="10">
        <f>ROUND(SUMPRODUCT($B$6:$B$10,C6:C10),2)</f>
        <v>4.3499999999999996</v>
      </c>
      <c r="D12" s="10">
        <f>ROUND(SUMPRODUCT($B$6:$B$10,D6:D10),2)</f>
        <v>4.5999999999999996</v>
      </c>
      <c r="E12" s="10">
        <f>ROUND(SUMPRODUCT($B$6:$B$10,E6:E10),2)</f>
        <v>3.35</v>
      </c>
    </row>
    <row r="13" spans="1:10" x14ac:dyDescent="0.2">
      <c r="A13" s="11"/>
      <c r="B13" s="12"/>
      <c r="C13" s="13">
        <f>RANK(C12,$C$12:$E$12)</f>
        <v>2</v>
      </c>
      <c r="D13" s="13">
        <f>RANK(D12,$C$12:$E$12)</f>
        <v>1</v>
      </c>
      <c r="E13" s="13">
        <f>RANK(E12,$C$12:$E$12)</f>
        <v>3</v>
      </c>
    </row>
    <row r="14" spans="1:10" x14ac:dyDescent="0.2">
      <c r="A14" s="27"/>
      <c r="B14" s="28"/>
      <c r="C14" s="29"/>
      <c r="D14" s="27"/>
      <c r="E14" s="28"/>
      <c r="F14" s="29"/>
      <c r="G14" s="27"/>
      <c r="H14" s="28"/>
      <c r="I14" s="29"/>
      <c r="J14" s="27"/>
    </row>
    <row r="15" spans="1:10" x14ac:dyDescent="0.2">
      <c r="A15" s="27"/>
      <c r="B15" s="28"/>
      <c r="C15" s="29"/>
      <c r="D15" s="27"/>
      <c r="E15" s="28"/>
      <c r="F15" s="29"/>
      <c r="G15" s="27"/>
      <c r="H15" s="28"/>
      <c r="I15" s="29"/>
      <c r="J15" s="27"/>
    </row>
    <row r="16" spans="1:10" x14ac:dyDescent="0.2">
      <c r="A16" s="27"/>
      <c r="B16" s="28"/>
      <c r="C16" s="29"/>
      <c r="D16" s="27"/>
      <c r="E16" s="28"/>
      <c r="F16" s="29"/>
      <c r="G16" s="27"/>
      <c r="H16" s="28"/>
      <c r="I16" s="29"/>
      <c r="J16" s="27"/>
    </row>
    <row r="17" spans="1:10" ht="24" customHeight="1" x14ac:dyDescent="0.2">
      <c r="A17" s="27"/>
      <c r="B17" s="28"/>
      <c r="C17" s="29"/>
      <c r="D17" s="27"/>
      <c r="E17" s="28"/>
      <c r="F17" s="29"/>
      <c r="G17" s="27"/>
      <c r="H17" s="28"/>
      <c r="I17" s="29"/>
      <c r="J17" s="27"/>
    </row>
    <row r="19" spans="1:10" ht="30" customHeight="1" x14ac:dyDescent="0.2"/>
    <row r="20" spans="1:10" ht="28" customHeight="1" x14ac:dyDescent="0.2">
      <c r="A20" s="26" t="s">
        <v>20</v>
      </c>
      <c r="B20" s="26"/>
      <c r="C20" s="26"/>
      <c r="D20" s="26"/>
      <c r="E20" s="26"/>
      <c r="F20" s="26"/>
      <c r="G20" s="26"/>
      <c r="H20" s="26"/>
      <c r="I20" s="26"/>
      <c r="J20" s="26"/>
    </row>
    <row r="21" spans="1:10" x14ac:dyDescent="0.2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4</v>
      </c>
      <c r="H21" s="1" t="s">
        <v>5</v>
      </c>
      <c r="I21" s="1" t="s">
        <v>27</v>
      </c>
      <c r="J21" s="1" t="s">
        <v>28</v>
      </c>
    </row>
    <row r="22" spans="1:10" ht="22" customHeight="1" x14ac:dyDescent="0.2">
      <c r="A22" s="2" t="s">
        <v>29</v>
      </c>
      <c r="B22" s="15">
        <f>B6</f>
        <v>0.2</v>
      </c>
      <c r="C22" s="15">
        <f>B7</f>
        <v>0.2</v>
      </c>
      <c r="D22" s="15">
        <f>B8</f>
        <v>0.2</v>
      </c>
      <c r="E22" s="15">
        <f>B9</f>
        <v>0.25</v>
      </c>
      <c r="F22" s="15">
        <f>B10</f>
        <v>0.15</v>
      </c>
      <c r="G22" s="14">
        <f>ROUND(B22*C$6+C22*C$7+D22*C$8+E22*C$9+F22*C$10,2)</f>
        <v>4.3499999999999996</v>
      </c>
      <c r="H22" s="14">
        <f>ROUND(B22*D$6+C22*D$7+D22*D$8+E22*D$9+F22*D$10,2)</f>
        <v>4.5999999999999996</v>
      </c>
      <c r="I22" s="14">
        <f>ROUND(B22*E$6+C22*E$7+D22*E$8+E22*E$9+F22*E$10,2)</f>
        <v>3.35</v>
      </c>
      <c r="J22" s="5" t="str">
        <f t="shared" ref="J22:J26" si="0">IF(COUNTIF(G22:I22,MAX(G22:I22))&gt;1,"Empate",INDEX($C$5:$E$5,MATCH(MAX(G22:I22),G22:I22,0)))</f>
        <v>Quesos</v>
      </c>
    </row>
    <row r="23" spans="1:10" ht="30" customHeight="1" x14ac:dyDescent="0.2">
      <c r="A23" s="2" t="s">
        <v>30</v>
      </c>
      <c r="B23" s="3">
        <v>0.2</v>
      </c>
      <c r="C23" s="3">
        <v>0.2</v>
      </c>
      <c r="D23" s="3">
        <v>0.2</v>
      </c>
      <c r="E23" s="3">
        <v>0.2</v>
      </c>
      <c r="F23" s="3">
        <v>0.2</v>
      </c>
      <c r="G23" s="14">
        <f>ROUND(B23*C$6+C23*C$7+D23*C$8+E23*C$9+F23*C$10,2)</f>
        <v>4.4000000000000004</v>
      </c>
      <c r="H23" s="14">
        <f>ROUND(B23*D$6+C23*D$7+D23*D$8+E23*D$9+F23*D$10,2)</f>
        <v>4.5999999999999996</v>
      </c>
      <c r="I23" s="14">
        <f>ROUND(B23*E$6+C23*E$7+D23*E$8+E23*E$9+F23*E$10,2)</f>
        <v>3.2</v>
      </c>
      <c r="J23" s="5" t="str">
        <f t="shared" si="0"/>
        <v>Quesos</v>
      </c>
    </row>
    <row r="24" spans="1:10" ht="18" customHeight="1" x14ac:dyDescent="0.2">
      <c r="A24" s="2" t="s">
        <v>31</v>
      </c>
      <c r="B24" s="3">
        <v>0.3</v>
      </c>
      <c r="C24" s="3">
        <v>0.3</v>
      </c>
      <c r="D24" s="3">
        <v>0.1</v>
      </c>
      <c r="E24" s="3">
        <v>0.15</v>
      </c>
      <c r="F24" s="3">
        <v>0.15</v>
      </c>
      <c r="G24" s="14">
        <f>ROUND(B24*C$6+C24*C$7+D24*C$8+E24*C$9+F24*C$10,2)</f>
        <v>4.45</v>
      </c>
      <c r="H24" s="14">
        <f>ROUND(B24*D$6+C24*D$7+D24*D$8+E24*D$9+F24*D$10,2)</f>
        <v>4.7</v>
      </c>
      <c r="I24" s="14">
        <f>ROUND(B24*E$6+C24*E$7+D24*E$8+E24*E$9+F24*E$10,2)</f>
        <v>3.15</v>
      </c>
      <c r="J24" s="5" t="str">
        <f t="shared" si="0"/>
        <v>Quesos</v>
      </c>
    </row>
    <row r="25" spans="1:10" ht="18" customHeight="1" x14ac:dyDescent="0.2">
      <c r="A25" s="2" t="s">
        <v>32</v>
      </c>
      <c r="B25" s="3">
        <v>0.15</v>
      </c>
      <c r="C25" s="3">
        <v>0.15</v>
      </c>
      <c r="D25" s="3">
        <v>0.4</v>
      </c>
      <c r="E25" s="3">
        <v>0.15</v>
      </c>
      <c r="F25" s="3">
        <v>0.15</v>
      </c>
      <c r="G25" s="14">
        <f>ROUND(B25*C$6+C25*C$7+D25*C$8+E25*C$9+F25*C$10,2)</f>
        <v>4.3</v>
      </c>
      <c r="H25" s="14">
        <f>ROUND(B25*D$6+C25*D$7+D25*D$8+E25*D$9+F25*D$10,2)</f>
        <v>4.7</v>
      </c>
      <c r="I25" s="14">
        <f>ROUND(B25*E$6+C25*E$7+D25*E$8+E25*E$9+F25*E$10,2)</f>
        <v>3.15</v>
      </c>
      <c r="J25" s="5" t="str">
        <f t="shared" si="0"/>
        <v>Quesos</v>
      </c>
    </row>
    <row r="26" spans="1:10" ht="30" customHeight="1" x14ac:dyDescent="0.2">
      <c r="A26" s="2" t="s">
        <v>33</v>
      </c>
      <c r="B26" s="3">
        <v>0.1</v>
      </c>
      <c r="C26" s="3">
        <v>0.1</v>
      </c>
      <c r="D26" s="3">
        <v>0.1</v>
      </c>
      <c r="E26" s="3">
        <v>0.4</v>
      </c>
      <c r="F26" s="3">
        <v>0.3</v>
      </c>
      <c r="G26" s="14">
        <f>ROUND(B26*C$6+C26*C$7+D26*C$8+E26*C$9+F26*C$10,2)</f>
        <v>4.4000000000000004</v>
      </c>
      <c r="H26" s="14">
        <f>ROUND(B26*D$6+C26*D$7+D26*D$8+E26*D$9+F26*D$10,2)</f>
        <v>4.3</v>
      </c>
      <c r="I26" s="14">
        <f>ROUND(B26*E$6+C26*E$7+D26*E$8+E26*E$9+F26*E$10,2)</f>
        <v>3.5</v>
      </c>
      <c r="J26" s="5" t="str">
        <f t="shared" si="0"/>
        <v>Yogures</v>
      </c>
    </row>
    <row r="27" spans="1:10" ht="30" customHeight="1" x14ac:dyDescent="0.2">
      <c r="A27" s="8" t="s">
        <v>34</v>
      </c>
      <c r="B27" s="9"/>
      <c r="C27" s="9"/>
      <c r="D27" s="9"/>
      <c r="E27" s="9"/>
      <c r="F27" s="9"/>
      <c r="G27" s="16">
        <f>COUNTIF($J$22:$J$26,"Yogures")</f>
        <v>1</v>
      </c>
      <c r="H27" s="16">
        <f>COUNTIF($J$22:$J$26,"Quesos")</f>
        <v>4</v>
      </c>
      <c r="I27" s="16">
        <f>COUNTIF($J$22:$J$26,"Leche UHT")</f>
        <v>0</v>
      </c>
      <c r="J27" s="9" t="str">
        <f>COUNTIF($J$22:$J$26,"Empate")&amp;" empate(s)"</f>
        <v>0 empate(s)</v>
      </c>
    </row>
    <row r="28" spans="1:10" ht="30" customHeight="1" x14ac:dyDescent="0.2"/>
    <row r="29" spans="1:10" ht="16" x14ac:dyDescent="0.2">
      <c r="A29" s="30" t="s">
        <v>35</v>
      </c>
      <c r="B29" s="30"/>
      <c r="C29" s="30"/>
      <c r="D29" s="30"/>
      <c r="E29" s="30"/>
      <c r="F29" s="30"/>
      <c r="G29" s="30"/>
      <c r="H29" s="30"/>
      <c r="I29" s="30"/>
      <c r="J29" s="30"/>
    </row>
    <row r="30" spans="1:10" ht="15" customHeight="1" x14ac:dyDescent="0.2">
      <c r="A30" s="1" t="s">
        <v>36</v>
      </c>
      <c r="B30" s="1" t="s">
        <v>37</v>
      </c>
      <c r="C30" s="1" t="s">
        <v>38</v>
      </c>
      <c r="D30" s="31" t="s">
        <v>39</v>
      </c>
      <c r="E30" s="32"/>
      <c r="F30" s="32"/>
      <c r="G30" s="32"/>
      <c r="H30" s="32"/>
      <c r="I30" s="32"/>
      <c r="J30" s="32"/>
    </row>
    <row r="31" spans="1:10" ht="22" customHeight="1" x14ac:dyDescent="0.2">
      <c r="A31" s="20" t="s">
        <v>40</v>
      </c>
      <c r="B31" s="17" t="s">
        <v>4</v>
      </c>
      <c r="C31" s="33">
        <f>C6</f>
        <v>4</v>
      </c>
      <c r="D31" s="34" t="s">
        <v>41</v>
      </c>
      <c r="E31" s="34"/>
      <c r="F31" s="34"/>
      <c r="G31" s="34"/>
      <c r="H31" s="34"/>
      <c r="I31" s="34"/>
      <c r="J31" s="34"/>
    </row>
    <row r="32" spans="1:10" ht="30" customHeight="1" x14ac:dyDescent="0.2">
      <c r="A32" s="19"/>
      <c r="B32" s="17" t="s">
        <v>5</v>
      </c>
      <c r="C32" s="33">
        <f>D6</f>
        <v>5</v>
      </c>
      <c r="D32" s="34" t="s">
        <v>42</v>
      </c>
      <c r="E32" s="34"/>
      <c r="F32" s="34"/>
      <c r="G32" s="34"/>
      <c r="H32" s="34"/>
      <c r="I32" s="34"/>
      <c r="J32" s="34"/>
    </row>
    <row r="33" spans="1:10" ht="84" customHeight="1" x14ac:dyDescent="0.2">
      <c r="A33" s="19"/>
      <c r="B33" s="17" t="s">
        <v>6</v>
      </c>
      <c r="C33" s="33">
        <f>E6</f>
        <v>3</v>
      </c>
      <c r="D33" s="34" t="s">
        <v>43</v>
      </c>
      <c r="E33" s="34"/>
      <c r="F33" s="34"/>
      <c r="G33" s="34"/>
      <c r="H33" s="34"/>
      <c r="I33" s="34"/>
      <c r="J33" s="34"/>
    </row>
    <row r="34" spans="1:10" ht="84" customHeight="1" x14ac:dyDescent="0.2">
      <c r="A34" s="20" t="s">
        <v>44</v>
      </c>
      <c r="B34" s="17" t="s">
        <v>4</v>
      </c>
      <c r="C34" s="33">
        <f>C7</f>
        <v>5</v>
      </c>
      <c r="D34" s="34" t="s">
        <v>45</v>
      </c>
      <c r="E34" s="34"/>
      <c r="F34" s="34"/>
      <c r="G34" s="34"/>
      <c r="H34" s="34"/>
      <c r="I34" s="34"/>
      <c r="J34" s="34"/>
    </row>
    <row r="35" spans="1:10" ht="84" customHeight="1" x14ac:dyDescent="0.2">
      <c r="A35" s="19"/>
      <c r="B35" s="17" t="s">
        <v>5</v>
      </c>
      <c r="C35" s="33">
        <f>D7</f>
        <v>5</v>
      </c>
      <c r="D35" s="34" t="s">
        <v>46</v>
      </c>
      <c r="E35" s="34"/>
      <c r="F35" s="34"/>
      <c r="G35" s="34"/>
      <c r="H35" s="34"/>
      <c r="I35" s="34"/>
      <c r="J35" s="34"/>
    </row>
    <row r="36" spans="1:10" ht="84" customHeight="1" x14ac:dyDescent="0.2">
      <c r="A36" s="19"/>
      <c r="B36" s="17" t="s">
        <v>6</v>
      </c>
      <c r="C36" s="33">
        <f>E7</f>
        <v>3</v>
      </c>
      <c r="D36" s="34" t="s">
        <v>47</v>
      </c>
      <c r="E36" s="34"/>
      <c r="F36" s="34"/>
      <c r="G36" s="34"/>
      <c r="H36" s="34"/>
      <c r="I36" s="34"/>
      <c r="J36" s="34"/>
    </row>
    <row r="37" spans="1:10" ht="84" customHeight="1" x14ac:dyDescent="0.2">
      <c r="A37" s="20" t="s">
        <v>48</v>
      </c>
      <c r="B37" s="17" t="s">
        <v>4</v>
      </c>
      <c r="C37" s="33">
        <f>C8</f>
        <v>4</v>
      </c>
      <c r="D37" s="34" t="s">
        <v>49</v>
      </c>
      <c r="E37" s="34"/>
      <c r="F37" s="34"/>
      <c r="G37" s="34"/>
      <c r="H37" s="34"/>
      <c r="I37" s="34"/>
      <c r="J37" s="34"/>
    </row>
    <row r="38" spans="1:10" ht="84" customHeight="1" x14ac:dyDescent="0.2">
      <c r="A38" s="19"/>
      <c r="B38" s="17" t="s">
        <v>5</v>
      </c>
      <c r="C38" s="33">
        <f>D8</f>
        <v>5</v>
      </c>
      <c r="D38" s="34" t="s">
        <v>50</v>
      </c>
      <c r="E38" s="34"/>
      <c r="F38" s="34"/>
      <c r="G38" s="34"/>
      <c r="H38" s="34"/>
      <c r="I38" s="34"/>
      <c r="J38" s="34"/>
    </row>
    <row r="39" spans="1:10" ht="84" customHeight="1" x14ac:dyDescent="0.2">
      <c r="A39" s="19"/>
      <c r="B39" s="17" t="s">
        <v>6</v>
      </c>
      <c r="C39" s="33">
        <f>E8</f>
        <v>3</v>
      </c>
      <c r="D39" s="34" t="s">
        <v>51</v>
      </c>
      <c r="E39" s="34"/>
      <c r="F39" s="34"/>
      <c r="G39" s="34"/>
      <c r="H39" s="34"/>
      <c r="I39" s="34"/>
      <c r="J39" s="34"/>
    </row>
    <row r="40" spans="1:10" ht="84" customHeight="1" x14ac:dyDescent="0.2">
      <c r="A40" s="20" t="s">
        <v>52</v>
      </c>
      <c r="B40" s="17" t="s">
        <v>4</v>
      </c>
      <c r="C40" s="33">
        <f>C9</f>
        <v>4</v>
      </c>
      <c r="D40" s="34" t="s">
        <v>55</v>
      </c>
      <c r="E40" s="34"/>
      <c r="F40" s="34"/>
      <c r="G40" s="34"/>
      <c r="H40" s="34"/>
      <c r="I40" s="34"/>
      <c r="J40" s="34"/>
    </row>
    <row r="41" spans="1:10" ht="84" customHeight="1" x14ac:dyDescent="0.2">
      <c r="A41" s="19"/>
      <c r="B41" s="17" t="s">
        <v>5</v>
      </c>
      <c r="C41" s="33">
        <f>D9</f>
        <v>4</v>
      </c>
      <c r="D41" s="34" t="s">
        <v>56</v>
      </c>
      <c r="E41" s="34"/>
      <c r="F41" s="34"/>
      <c r="G41" s="34"/>
      <c r="H41" s="34"/>
      <c r="I41" s="34"/>
      <c r="J41" s="34"/>
    </row>
    <row r="42" spans="1:10" ht="84" customHeight="1" x14ac:dyDescent="0.2">
      <c r="A42" s="19"/>
      <c r="B42" s="17" t="s">
        <v>6</v>
      </c>
      <c r="C42" s="33">
        <f>E9</f>
        <v>5</v>
      </c>
      <c r="D42" s="34" t="s">
        <v>57</v>
      </c>
      <c r="E42" s="34"/>
      <c r="F42" s="34"/>
      <c r="G42" s="34"/>
      <c r="H42" s="34"/>
      <c r="I42" s="34"/>
      <c r="J42" s="34"/>
    </row>
    <row r="43" spans="1:10" ht="84" customHeight="1" x14ac:dyDescent="0.2">
      <c r="A43" s="20" t="s">
        <v>53</v>
      </c>
      <c r="B43" s="17" t="s">
        <v>4</v>
      </c>
      <c r="C43" s="33">
        <f>C10</f>
        <v>5</v>
      </c>
      <c r="D43" s="34" t="s">
        <v>54</v>
      </c>
      <c r="E43" s="34"/>
      <c r="F43" s="34"/>
      <c r="G43" s="34"/>
      <c r="H43" s="34"/>
      <c r="I43" s="34"/>
      <c r="J43" s="34"/>
    </row>
    <row r="44" spans="1:10" ht="84" customHeight="1" x14ac:dyDescent="0.2">
      <c r="A44" s="19"/>
      <c r="B44" s="17" t="s">
        <v>5</v>
      </c>
      <c r="C44" s="33">
        <f>D10</f>
        <v>4</v>
      </c>
      <c r="D44" s="34" t="s">
        <v>58</v>
      </c>
      <c r="E44" s="34"/>
      <c r="F44" s="34"/>
      <c r="G44" s="34"/>
      <c r="H44" s="34"/>
      <c r="I44" s="34"/>
      <c r="J44" s="34"/>
    </row>
    <row r="45" spans="1:10" ht="84" customHeight="1" x14ac:dyDescent="0.2">
      <c r="A45" s="19"/>
      <c r="B45" s="17" t="s">
        <v>6</v>
      </c>
      <c r="C45" s="33">
        <f>E10</f>
        <v>2</v>
      </c>
      <c r="D45" s="34" t="s">
        <v>59</v>
      </c>
      <c r="E45" s="34"/>
      <c r="F45" s="34"/>
      <c r="G45" s="34"/>
      <c r="H45" s="34"/>
      <c r="I45" s="34"/>
      <c r="J45" s="34"/>
    </row>
    <row r="46" spans="1:10" ht="84" customHeight="1" x14ac:dyDescent="0.2"/>
    <row r="47" spans="1:10" ht="84" customHeight="1" x14ac:dyDescent="0.2"/>
    <row r="49" ht="22" customHeight="1" x14ac:dyDescent="0.2"/>
    <row r="50" ht="30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4" ht="22" customHeight="1" x14ac:dyDescent="0.2"/>
    <row r="65" ht="40" customHeight="1" x14ac:dyDescent="0.2"/>
    <row r="66" ht="40" customHeight="1" x14ac:dyDescent="0.2"/>
    <row r="67" ht="40" customHeight="1" x14ac:dyDescent="0.2"/>
    <row r="68" ht="40" customHeight="1" x14ac:dyDescent="0.2"/>
    <row r="69" ht="40" customHeight="1" x14ac:dyDescent="0.2"/>
    <row r="70" ht="40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</sheetData>
  <mergeCells count="31">
    <mergeCell ref="D43:J43"/>
    <mergeCell ref="D44:J44"/>
    <mergeCell ref="D45:J45"/>
    <mergeCell ref="D38:J38"/>
    <mergeCell ref="D39:J39"/>
    <mergeCell ref="D40:J40"/>
    <mergeCell ref="D41:J41"/>
    <mergeCell ref="D42:J42"/>
    <mergeCell ref="D33:J33"/>
    <mergeCell ref="D34:J34"/>
    <mergeCell ref="D35:J35"/>
    <mergeCell ref="D36:J36"/>
    <mergeCell ref="D37:J37"/>
    <mergeCell ref="A1:J1"/>
    <mergeCell ref="F6:I6"/>
    <mergeCell ref="A34:A36"/>
    <mergeCell ref="A43:A45"/>
    <mergeCell ref="F5:I5"/>
    <mergeCell ref="D31:J31"/>
    <mergeCell ref="A2:J2"/>
    <mergeCell ref="A20:J20"/>
    <mergeCell ref="F9:I9"/>
    <mergeCell ref="A31:A33"/>
    <mergeCell ref="D30:J30"/>
    <mergeCell ref="D32:J32"/>
    <mergeCell ref="A4:J4"/>
    <mergeCell ref="A37:A39"/>
    <mergeCell ref="F7:I7"/>
    <mergeCell ref="F8:I8"/>
    <mergeCell ref="F10:I10"/>
    <mergeCell ref="A40:A42"/>
  </mergeCells>
  <conditionalFormatting sqref="C12:E13">
    <cfRule type="expression" dxfId="5" priority="1">
      <formula>C$13=1</formula>
    </cfRule>
  </conditionalFormatting>
  <conditionalFormatting sqref="D14:F16">
    <cfRule type="expression" dxfId="4" priority="2">
      <formula>D14=MAX($D14:$F14)</formula>
    </cfRule>
  </conditionalFormatting>
  <conditionalFormatting sqref="J22:J26">
    <cfRule type="expression" dxfId="3" priority="5">
      <formula>J22="Yogures"</formula>
    </cfRule>
    <cfRule type="expression" dxfId="2" priority="6">
      <formula>J22="Quesos"</formula>
    </cfRule>
    <cfRule type="expression" dxfId="1" priority="7">
      <formula>J22="Leche UHT"</formula>
    </cfRule>
    <cfRule type="expression" dxfId="0" priority="8">
      <formula>J22="Empate"</formula>
    </cfRule>
  </conditionalFormatting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decisión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 Gongora Rasmussen</cp:lastModifiedBy>
  <dcterms:created xsi:type="dcterms:W3CDTF">2026-10-13T00:35:00Z</dcterms:created>
  <dcterms:modified xsi:type="dcterms:W3CDTF">2026-10-13T00:54:23Z</dcterms:modified>
</cp:coreProperties>
</file>