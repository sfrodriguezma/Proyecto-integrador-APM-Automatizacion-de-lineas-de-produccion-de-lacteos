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15E3614C-FCDF-C848-892F-3AA607230FC9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Resumen" sheetId="1" r:id="rId1"/>
    <sheet name="Calendario de entregables" sheetId="2" r:id="rId2"/>
  </sheets>
  <definedNames>
    <definedName name="_xlnm._FilterDatabase" localSheetId="1" hidden="1">'Calendario de entregables'!$A$4:$G$74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2" l="1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20" i="1"/>
  <c r="E19" i="1"/>
  <c r="E18" i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<sst xmlns="http://schemas.openxmlformats.org/spreadsheetml/2006/main" count="315" uniqueCount="181">
  <si>
    <t>Calendario del Proyecto Integraflux</t>
  </si>
  <si>
    <t>Automatización de la línea de quesos · días hábiles lunes–viernes, festivos de Colombia y cierre colectivo de fin de año</t>
  </si>
  <si>
    <t>Inicio</t>
  </si>
  <si>
    <t>Fin</t>
  </si>
  <si>
    <t>Duración (semanas)</t>
  </si>
  <si>
    <t>Paquetes de trabajo</t>
  </si>
  <si>
    <t>Entregables</t>
  </si>
  <si>
    <t>Hitos</t>
  </si>
  <si>
    <t>Paquete</t>
  </si>
  <si>
    <t>Modelo de 12 capas de las líneas iniciales</t>
  </si>
  <si>
    <t>Selección de la línea a automatizar</t>
  </si>
  <si>
    <t>Arquitectura TDI de la planta</t>
  </si>
  <si>
    <t>Planeación y dirección del proyecto</t>
  </si>
  <si>
    <t>Diagnóstico del estado actual de la planta</t>
  </si>
  <si>
    <t>Diseño de la solución – Línea de quesos</t>
  </si>
  <si>
    <t>Simulación y análisis del sistema productivo</t>
  </si>
  <si>
    <t>Celda de manufactura robotizada</t>
  </si>
  <si>
    <t>Control industrial, SCADA y gemelo digital</t>
  </si>
  <si>
    <t>Evaluación técnico-económica y análisis del cambio</t>
  </si>
  <si>
    <t>Adquisiciones, fabricación e instalación de equipos</t>
  </si>
  <si>
    <t>Puesta en marcha, producción y cierre</t>
  </si>
  <si>
    <t>La numeración de los paquetes sigue el orden del documento; el cronograma ejecuta varios en paralelo (p. ej. la planeación 4 arranca el día 1).</t>
  </si>
  <si>
    <t>Calendario de entregables</t>
  </si>
  <si>
    <t>Ordenado por fecha de entrega. La columna Estado se puede actualizar durante el proyecto.</t>
  </si>
  <si>
    <t>Fecha de entrega</t>
  </si>
  <si>
    <t>Cód. EDT</t>
  </si>
  <si>
    <t>Entregable</t>
  </si>
  <si>
    <t>Estado</t>
  </si>
  <si>
    <t>4.1</t>
  </si>
  <si>
    <t>EDT del proyecto: diagrama y tabla con códigos</t>
  </si>
  <si>
    <t>4. Planeación y dirección del proyecto</t>
  </si>
  <si>
    <t>Planificado</t>
  </si>
  <si>
    <t>1.1</t>
  </si>
  <si>
    <t>Archivos .md del repositorio con las 12 capas: Linea de quesos, Linea de yogures y Linea de leche UHT</t>
  </si>
  <si>
    <t>1. Modelo de 12 capas de las líneas iniciales</t>
  </si>
  <si>
    <t>4.2</t>
  </si>
  <si>
    <t>Cronograma (Gantt) y calendario de entregables</t>
  </si>
  <si>
    <t>2.1</t>
  </si>
  <si>
    <t>Matriz de decisión evaluada: línea de quesos seleccionada</t>
  </si>
  <si>
    <t>2. Selección de la línea a automatizar</t>
  </si>
  <si>
    <t>5.1</t>
  </si>
  <si>
    <t>Diagramas de proceso de las tres líneas</t>
  </si>
  <si>
    <t>5. Diagnóstico del estado actual de la planta</t>
  </si>
  <si>
    <t>5.3</t>
  </si>
  <si>
    <t>Layout actual de la planta (plano)</t>
  </si>
  <si>
    <t>3.1</t>
  </si>
  <si>
    <t>Modelo físico ISA-88 de las tres líneas</t>
  </si>
  <si>
    <t>3. Arquitectura TDI de la planta</t>
  </si>
  <si>
    <t>3.3</t>
  </si>
  <si>
    <t>Modelo ISA-95 y diagrama de flujo de información</t>
  </si>
  <si>
    <t>5.2</t>
  </si>
  <si>
    <t>PFD de las tres líneas</t>
  </si>
  <si>
    <t>5.4</t>
  </si>
  <si>
    <t>Diagramas de espagueti del estado actual</t>
  </si>
  <si>
    <t>5.6</t>
  </si>
  <si>
    <t>Diagramas de análisis de proceso del estado actual</t>
  </si>
  <si>
    <t>3.5</t>
  </si>
  <si>
    <t>Especificación conceptual de requerimientos MES / ERP</t>
  </si>
  <si>
    <t>5.5</t>
  </si>
  <si>
    <t>VSM del estado actual (por línea)</t>
  </si>
  <si>
    <t>5.7</t>
  </si>
  <si>
    <t>Informe de tiempos y capacidades</t>
  </si>
  <si>
    <t>3.2</t>
  </si>
  <si>
    <t>Modelo procedimental y recetas maestras</t>
  </si>
  <si>
    <t>3.4</t>
  </si>
  <si>
    <t>Arquitectura integral de automatización de la planta</t>
  </si>
  <si>
    <t>5.8</t>
  </si>
  <si>
    <t>Tablero de indicadores línea base</t>
  </si>
  <si>
    <t>5.9</t>
  </si>
  <si>
    <t>Modelo de simulación del estado actual</t>
  </si>
  <si>
    <t>6.1</t>
  </si>
  <si>
    <t>Documento de estrategia y alcance de automatización</t>
  </si>
  <si>
    <t>6. Diseño de la solución – Línea de quesos</t>
  </si>
  <si>
    <t>6.2</t>
  </si>
  <si>
    <t>Recetas y balance de masa de la línea de quesos</t>
  </si>
  <si>
    <t>6.3</t>
  </si>
  <si>
    <t>Hojas de datos y lista de equipos</t>
  </si>
  <si>
    <t>8.1</t>
  </si>
  <si>
    <t>Documento de justificación de la robotización</t>
  </si>
  <si>
    <t>8. Celda de manufactura robotizada</t>
  </si>
  <si>
    <t>9.1</t>
  </si>
  <si>
    <t>Grafcet de la línea de quesos</t>
  </si>
  <si>
    <t>9. Control industrial, SCADA y gemelo digital</t>
  </si>
  <si>
    <t>6.4</t>
  </si>
  <si>
    <t>Lista de instrumentos y matriz variable–sensor–actuador</t>
  </si>
  <si>
    <t>6.6</t>
  </si>
  <si>
    <t>Memorias de cálculo</t>
  </si>
  <si>
    <t>6.7</t>
  </si>
  <si>
    <t>BOM y APU preliminares de la línea de quesos</t>
  </si>
  <si>
    <t>7.1</t>
  </si>
  <si>
    <t>Modelo de simulación del estado propuesto</t>
  </si>
  <si>
    <t>7. Simulación y análisis del sistema productivo</t>
  </si>
  <si>
    <t>8.2</t>
  </si>
  <si>
    <t>Diseño conceptual de la celda robotizada</t>
  </si>
  <si>
    <t>6.5</t>
  </si>
  <si>
    <t>P&amp;ID de la línea de quesos</t>
  </si>
  <si>
    <t>6.8</t>
  </si>
  <si>
    <t>Presupuesto preliminar de la línea de quesos</t>
  </si>
  <si>
    <t>7.2</t>
  </si>
  <si>
    <t>Resultados de simulación: secuenciación y cambios de producto</t>
  </si>
  <si>
    <t>7.3</t>
  </si>
  <si>
    <t>Análisis de cuellos de botella y capacidad por escenario</t>
  </si>
  <si>
    <t>7.4</t>
  </si>
  <si>
    <t>Resultados de simulación: disponibilidad y paradas</t>
  </si>
  <si>
    <t>8.3</t>
  </si>
  <si>
    <t>Análisis de riesgos y plan de mitigación de la celda</t>
  </si>
  <si>
    <t>9.2</t>
  </si>
  <si>
    <t>Programa PLC (Ladder) documentado</t>
  </si>
  <si>
    <t>9.3</t>
  </si>
  <si>
    <t>Gemelo digital de la línea de quesos</t>
  </si>
  <si>
    <t>9.4</t>
  </si>
  <si>
    <t>SCADA / HMI de la línea</t>
  </si>
  <si>
    <t>10.1</t>
  </si>
  <si>
    <t>VSM del estado futuro</t>
  </si>
  <si>
    <t>10. Evaluación técnico-económica y análisis del cambio</t>
  </si>
  <si>
    <t>10.3</t>
  </si>
  <si>
    <t>Estimación de costos y cotizaciones</t>
  </si>
  <si>
    <t>6.9</t>
  </si>
  <si>
    <t>Flujo de caja preliminar</t>
  </si>
  <si>
    <t>6.10</t>
  </si>
  <si>
    <t>Modelo Canvas de negocio</t>
  </si>
  <si>
    <t>7.5</t>
  </si>
  <si>
    <t>Informe de resultados de simulación</t>
  </si>
  <si>
    <t>8.4</t>
  </si>
  <si>
    <t>Simulación de la celda en RobotStudio</t>
  </si>
  <si>
    <t>9.5</t>
  </si>
  <si>
    <t>Integración de sistemas probada</t>
  </si>
  <si>
    <t>10.2</t>
  </si>
  <si>
    <t>Informe comparativo: línea base vs. solución propuesta</t>
  </si>
  <si>
    <t>10.4</t>
  </si>
  <si>
    <t>Presupuesto del proyecto</t>
  </si>
  <si>
    <t>8.5</t>
  </si>
  <si>
    <t>Especificación técnica de la celda</t>
  </si>
  <si>
    <t>9.6</t>
  </si>
  <si>
    <t>Informe de validación funcional</t>
  </si>
  <si>
    <t>10.5</t>
  </si>
  <si>
    <t>Flujo de caja e indicadores financieros</t>
  </si>
  <si>
    <t>10.6</t>
  </si>
  <si>
    <t>Propuesta de valor y oferta comercial</t>
  </si>
  <si>
    <t>10.7</t>
  </si>
  <si>
    <t>Acta de aprobación de la oferta por el cliente</t>
  </si>
  <si>
    <t>11.1</t>
  </si>
  <si>
    <t>Plan de adquisiciones y RFQ</t>
  </si>
  <si>
    <t>11. Adquisiciones, fabricación e instalación de equipos</t>
  </si>
  <si>
    <t>11.2</t>
  </si>
  <si>
    <t>Plan de continuidad de producción</t>
  </si>
  <si>
    <t>11.3</t>
  </si>
  <si>
    <t>Órdenes de compra y cronograma de entregas</t>
  </si>
  <si>
    <t>11.6</t>
  </si>
  <si>
    <t>Obras civiles y servicios industriales listos</t>
  </si>
  <si>
    <t>11.4</t>
  </si>
  <si>
    <t>Informes de avance de fabricación de equipos</t>
  </si>
  <si>
    <t>11.5</t>
  </si>
  <si>
    <t>Actas de FAT</t>
  </si>
  <si>
    <t>11.7</t>
  </si>
  <si>
    <t>Acta de recepción de equipos</t>
  </si>
  <si>
    <t>11.8</t>
  </si>
  <si>
    <t>Equipos montados (acta de montaje)</t>
  </si>
  <si>
    <t>11.9</t>
  </si>
  <si>
    <t>Instalación eléctrica y de instrumentación completa</t>
  </si>
  <si>
    <t>11.10</t>
  </si>
  <si>
    <t>Sistema de control y supervisión instalado</t>
  </si>
  <si>
    <t>11.11</t>
  </si>
  <si>
    <t>Informe de comisionamiento</t>
  </si>
  <si>
    <t>11.12</t>
  </si>
  <si>
    <t>Acta de SAT y validación sanitaria</t>
  </si>
  <si>
    <t>12.1</t>
  </si>
  <si>
    <t>Plan de capacitación, manuales y SOP</t>
  </si>
  <si>
    <t>12. Puesta en marcha, producción y cierre</t>
  </si>
  <si>
    <t>12.2</t>
  </si>
  <si>
    <t>Reporte de arranque y lotes piloto</t>
  </si>
  <si>
    <t>12.5</t>
  </si>
  <si>
    <t>Dossier as-built y entrega técnica</t>
  </si>
  <si>
    <t>12.6</t>
  </si>
  <si>
    <t>Informe de soporte y plan de mantenimiento</t>
  </si>
  <si>
    <t>12.3</t>
  </si>
  <si>
    <t>Reporte de producción asistida</t>
  </si>
  <si>
    <t>12.4</t>
  </si>
  <si>
    <t>Informe de indicadores post-implementación</t>
  </si>
  <si>
    <t>12.7</t>
  </si>
  <si>
    <t>Informe final, sitio web, video y acta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</si>
</sst>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2" x14ac:knownFonts="1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</font>
    <font>
      <i/>
      <sz val="10"/>
      <color rgb="FF667085"/>
      <name val="Calibri"/>
      <family val="2"/>
    </font>
    <font>
      <sz val="9"/>
      <color rgb="FF667085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color rgb="FF667085"/>
      <name val="Calibri"/>
      <family val="2"/>
    </font>
    <font>
      <b/>
      <sz val="10"/>
      <color rgb="FF7B1FA2"/>
      <name val="Calibri"/>
      <family val="2"/>
    </font>
    <font>
      <b/>
      <sz val="9"/>
      <color rgb="FF7B1FA2"/>
      <name val="Calibri"/>
      <family val="2"/>
    </font>
    <font>
      <b/>
      <sz val="10"/>
      <color rgb="FF1F3A5F"/>
      <name val="Calibri"/>
      <family val="2"/>
    </font>
    <font>
      <b/>
      <sz val="9"/>
      <color rgb="FF1F3A5F"/>
      <name val="Calibri"/>
      <family val="2"/>
    </font>
    <font>
      <b/>
      <sz val="10"/>
      <color rgb="FF2E75B6"/>
      <name val="Calibri"/>
      <family val="2"/>
    </font>
    <font>
      <b/>
      <sz val="9"/>
      <color rgb="FF2E75B6"/>
      <name val="Calibri"/>
      <family val="2"/>
    </font>
    <font>
      <b/>
      <sz val="10"/>
      <color rgb="FFE65100"/>
      <name val="Calibri"/>
      <family val="2"/>
    </font>
    <font>
      <b/>
      <sz val="9"/>
      <color rgb="FFE65100"/>
      <name val="Calibri"/>
      <family val="2"/>
    </font>
    <font>
      <b/>
      <sz val="10"/>
      <color rgb="FF00796B"/>
      <name val="Calibri"/>
      <family val="2"/>
    </font>
    <font>
      <b/>
      <sz val="9"/>
      <color rgb="FF00796B"/>
      <name val="Calibri"/>
      <family val="2"/>
    </font>
    <font>
      <b/>
      <sz val="10"/>
      <color rgb="FFAD1457"/>
      <name val="Calibri"/>
      <family val="2"/>
    </font>
    <font>
      <b/>
      <sz val="9"/>
      <color rgb="FFAD1457"/>
      <name val="Calibri"/>
      <family val="2"/>
    </font>
    <font>
      <b/>
      <sz val="10"/>
      <color rgb="FF0277BD"/>
      <name val="Calibri"/>
      <family val="2"/>
    </font>
    <font>
      <b/>
      <sz val="9"/>
      <color rgb="FF0277BD"/>
      <name val="Calibri"/>
      <family val="2"/>
    </font>
    <font>
      <b/>
      <sz val="10"/>
      <color rgb="FF558B2F"/>
      <name val="Calibri"/>
      <family val="2"/>
    </font>
    <font>
      <b/>
      <sz val="9"/>
      <color rgb="FF558B2F"/>
      <name val="Calibri"/>
      <family val="2"/>
    </font>
    <font>
      <b/>
      <sz val="10"/>
      <color rgb="FF5D4037"/>
      <name val="Calibri"/>
      <family val="2"/>
    </font>
    <font>
      <b/>
      <sz val="9"/>
      <color rgb="FF5D4037"/>
      <name val="Calibri"/>
      <family val="2"/>
    </font>
    <font>
      <b/>
      <sz val="10"/>
      <color rgb="FFC62828"/>
      <name val="Calibri"/>
      <family val="2"/>
    </font>
    <font>
      <b/>
      <sz val="9"/>
      <color rgb="FFC62828"/>
      <name val="Calibri"/>
      <family val="2"/>
    </font>
    <font>
      <b/>
      <sz val="10"/>
      <color rgb="FF37474F"/>
      <name val="Calibri"/>
      <family val="2"/>
    </font>
    <font>
      <b/>
      <sz val="9"/>
      <color rgb="FF37474F"/>
      <name val="Calibri"/>
      <family val="2"/>
    </font>
    <font>
      <b/>
      <sz val="10"/>
      <color rgb="FF00838F"/>
      <name val="Calibri"/>
      <family val="2"/>
    </font>
    <font>
      <b/>
      <sz val="9"/>
      <color rgb="FF00838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1F3A5F"/>
      </patternFill>
    </fill>
    <fill>
      <patternFill patternType="solid">
        <fgColor rgb="FF2E75B6"/>
      </patternFill>
    </fill>
    <fill>
      <patternFill patternType="solid">
        <fgColor rgb="FF00796B"/>
      </patternFill>
    </fill>
    <fill>
      <patternFill patternType="solid">
        <fgColor rgb="FF7B1FA2"/>
      </patternFill>
    </fill>
    <fill>
      <patternFill patternType="solid">
        <fgColor rgb="FFE65100"/>
      </patternFill>
    </fill>
    <fill>
      <patternFill patternType="solid">
        <fgColor rgb="FFAD1457"/>
      </patternFill>
    </fill>
    <fill>
      <patternFill patternType="solid">
        <fgColor rgb="FF5D4037"/>
      </patternFill>
    </fill>
    <fill>
      <patternFill patternType="solid">
        <fgColor rgb="FF0277BD"/>
      </patternFill>
    </fill>
    <fill>
      <patternFill patternType="solid">
        <fgColor rgb="FF558B2F"/>
      </patternFill>
    </fill>
    <fill>
      <patternFill patternType="solid">
        <fgColor rgb="FFC62828"/>
      </patternFill>
    </fill>
    <fill>
      <patternFill patternType="solid">
        <fgColor rgb="FF37474F"/>
      </patternFill>
    </fill>
    <fill>
      <patternFill patternType="solid">
        <fgColor rgb="FF00838F"/>
      </patternFill>
    </fill>
  </fills>
  <borders count="4">
    <border>
      <left/>
      <right/>
      <top/>
      <bottom/>
      <diagonal/>
    </border>
    <border>
      <left/>
      <right/>
      <top style="medium">
        <color rgb="FF1F3A5F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3">
    <dxf>
      <fill>
        <patternFill patternType="solid">
          <fgColor rgb="FFFEE4E2"/>
        </patternFill>
      </fill>
    </dxf>
    <dxf>
      <fill>
        <patternFill patternType="solid">
          <fgColor rgb="FFFEF0C7"/>
        </patternFill>
      </fill>
    </dxf>
    <dxf>
      <fill>
        <patternFill patternType="solid">
          <fgColor rgb="FFD1FAD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150" workbookViewId="0"/>
  </sheetViews>
  <sheetFormatPr baseColWidth="10" defaultColWidth="8.83203125" defaultRowHeight="15" x14ac:dyDescent="0.2"/>
  <cols>
    <col min="1" max="1" width="14" customWidth="1"/>
    <col min="2" max="2" width="52" customWidth="1"/>
    <col min="3" max="4" width="14" customWidth="1"/>
    <col min="5" max="5" width="18" customWidth="1"/>
    <col min="6" max="6" width="14" customWidth="1"/>
  </cols>
  <sheetData>
    <row r="1" spans="1:6" ht="26" customHeight="1" x14ac:dyDescent="0.25">
      <c r="A1" s="1" t="s">
        <v>0</v>
      </c>
    </row>
    <row r="2" spans="1:6" x14ac:dyDescent="0.2">
      <c r="A2" s="2" t="s">
        <v>1</v>
      </c>
    </row>
    <row r="4" spans="1: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0" customHeight="1" x14ac:dyDescent="0.25">
      <c r="A5" s="4">
        <v>46237</v>
      </c>
      <c r="B5" s="4">
        <v>46583</v>
      </c>
      <c r="C5" s="5">
        <v>49</v>
      </c>
      <c r="D5" s="5">
        <v>12</v>
      </c>
      <c r="E5" s="5">
        <v>70</v>
      </c>
      <c r="F5" s="5">
        <v>16</v>
      </c>
    </row>
    <row r="8" spans="1:6" ht="32" customHeight="1" x14ac:dyDescent="0.2">
      <c r="A8" s="48" t="s">
        <v>8</v>
      </c>
      <c r="B8" s="49"/>
      <c r="C8" s="6" t="s">
        <v>2</v>
      </c>
      <c r="D8" s="6" t="s">
        <v>3</v>
      </c>
      <c r="E8" s="6" t="s">
        <v>4</v>
      </c>
      <c r="F8" s="6" t="s">
        <v>6</v>
      </c>
    </row>
    <row r="9" spans="1:6" x14ac:dyDescent="0.2">
      <c r="A9" s="7">
        <v>1</v>
      </c>
      <c r="B9" s="8" t="s">
        <v>9</v>
      </c>
      <c r="C9" s="9">
        <v>46237</v>
      </c>
      <c r="D9" s="9">
        <v>46252</v>
      </c>
      <c r="E9" s="10">
        <f t="shared" ref="E9:E20" si="0">ROUND((D9-C9+1)/7,1)</f>
        <v>2.2999999999999998</v>
      </c>
      <c r="F9" s="10">
        <v>1</v>
      </c>
    </row>
    <row r="10" spans="1:6" x14ac:dyDescent="0.2">
      <c r="A10" s="11">
        <v>2</v>
      </c>
      <c r="B10" s="8" t="s">
        <v>10</v>
      </c>
      <c r="C10" s="9">
        <v>46253</v>
      </c>
      <c r="D10" s="9">
        <v>46259</v>
      </c>
      <c r="E10" s="10">
        <f t="shared" si="0"/>
        <v>1</v>
      </c>
      <c r="F10" s="10">
        <v>1</v>
      </c>
    </row>
    <row r="11" spans="1:6" x14ac:dyDescent="0.2">
      <c r="A11" s="12">
        <v>3</v>
      </c>
      <c r="B11" s="8" t="s">
        <v>11</v>
      </c>
      <c r="C11" s="9">
        <v>46267</v>
      </c>
      <c r="D11" s="9">
        <v>46287</v>
      </c>
      <c r="E11" s="10">
        <f t="shared" si="0"/>
        <v>3</v>
      </c>
      <c r="F11" s="10">
        <v>5</v>
      </c>
    </row>
    <row r="12" spans="1:6" x14ac:dyDescent="0.2">
      <c r="A12" s="13">
        <v>4</v>
      </c>
      <c r="B12" s="8" t="s">
        <v>12</v>
      </c>
      <c r="C12" s="9">
        <v>46237</v>
      </c>
      <c r="D12" s="9">
        <v>46252</v>
      </c>
      <c r="E12" s="10">
        <f t="shared" si="0"/>
        <v>2.2999999999999998</v>
      </c>
      <c r="F12" s="10">
        <v>2</v>
      </c>
    </row>
    <row r="13" spans="1:6" x14ac:dyDescent="0.2">
      <c r="A13" s="14">
        <v>5</v>
      </c>
      <c r="B13" s="8" t="s">
        <v>13</v>
      </c>
      <c r="C13" s="9">
        <v>46253</v>
      </c>
      <c r="D13" s="9">
        <v>46301</v>
      </c>
      <c r="E13" s="10">
        <f t="shared" si="0"/>
        <v>7</v>
      </c>
      <c r="F13" s="10">
        <v>9</v>
      </c>
    </row>
    <row r="14" spans="1:6" x14ac:dyDescent="0.2">
      <c r="A14" s="15">
        <v>6</v>
      </c>
      <c r="B14" s="8" t="s">
        <v>14</v>
      </c>
      <c r="C14" s="9">
        <v>46308</v>
      </c>
      <c r="D14" s="9">
        <v>46351</v>
      </c>
      <c r="E14" s="10">
        <f t="shared" si="0"/>
        <v>6.3</v>
      </c>
      <c r="F14" s="10">
        <v>10</v>
      </c>
    </row>
    <row r="15" spans="1:6" x14ac:dyDescent="0.2">
      <c r="A15" s="16">
        <v>7</v>
      </c>
      <c r="B15" s="8" t="s">
        <v>15</v>
      </c>
      <c r="C15" s="9">
        <v>46322</v>
      </c>
      <c r="D15" s="9">
        <v>46351</v>
      </c>
      <c r="E15" s="10">
        <f t="shared" si="0"/>
        <v>4.3</v>
      </c>
      <c r="F15" s="10">
        <v>5</v>
      </c>
    </row>
    <row r="16" spans="1:6" x14ac:dyDescent="0.2">
      <c r="A16" s="17">
        <v>8</v>
      </c>
      <c r="B16" s="8" t="s">
        <v>16</v>
      </c>
      <c r="C16" s="9">
        <v>46322</v>
      </c>
      <c r="D16" s="9">
        <v>46358</v>
      </c>
      <c r="E16" s="10">
        <f t="shared" si="0"/>
        <v>5.3</v>
      </c>
      <c r="F16" s="10">
        <v>5</v>
      </c>
    </row>
    <row r="17" spans="1:6" x14ac:dyDescent="0.2">
      <c r="A17" s="18">
        <v>9</v>
      </c>
      <c r="B17" s="8" t="s">
        <v>17</v>
      </c>
      <c r="C17" s="9">
        <v>46322</v>
      </c>
      <c r="D17" s="9">
        <v>46358</v>
      </c>
      <c r="E17" s="10">
        <f t="shared" si="0"/>
        <v>5.3</v>
      </c>
      <c r="F17" s="10">
        <v>6</v>
      </c>
    </row>
    <row r="18" spans="1:6" x14ac:dyDescent="0.2">
      <c r="A18" s="19">
        <v>10</v>
      </c>
      <c r="B18" s="8" t="s">
        <v>18</v>
      </c>
      <c r="C18" s="9">
        <v>46337</v>
      </c>
      <c r="D18" s="9">
        <v>46373</v>
      </c>
      <c r="E18" s="10">
        <f t="shared" si="0"/>
        <v>5.3</v>
      </c>
      <c r="F18" s="10">
        <v>7</v>
      </c>
    </row>
    <row r="19" spans="1:6" x14ac:dyDescent="0.2">
      <c r="A19" s="20">
        <v>11</v>
      </c>
      <c r="B19" s="8" t="s">
        <v>19</v>
      </c>
      <c r="C19" s="9">
        <v>46374</v>
      </c>
      <c r="D19" s="9">
        <v>46500</v>
      </c>
      <c r="E19" s="10">
        <f t="shared" si="0"/>
        <v>18.100000000000001</v>
      </c>
      <c r="F19" s="10">
        <v>12</v>
      </c>
    </row>
    <row r="20" spans="1:6" x14ac:dyDescent="0.2">
      <c r="A20" s="21">
        <v>12</v>
      </c>
      <c r="B20" s="8" t="s">
        <v>20</v>
      </c>
      <c r="C20" s="9">
        <v>46496</v>
      </c>
      <c r="D20" s="9">
        <v>46583</v>
      </c>
      <c r="E20" s="10">
        <f t="shared" si="0"/>
        <v>12.6</v>
      </c>
      <c r="F20" s="10">
        <v>7</v>
      </c>
    </row>
    <row r="22" spans="1:6" x14ac:dyDescent="0.2">
      <c r="A22" s="22" t="s">
        <v>21</v>
      </c>
    </row>
  </sheetData>
  <mergeCells count="1"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4"/>
  <sheetViews>
    <sheetView showGridLines="0" tabSelected="1" zoomScale="186" workbookViewId="0">
      <pane xSplit="2" ySplit="4" topLeftCell="C5" activePane="bottomRight" state="frozen"/>
      <selection pane="topRight"/>
      <selection pane="bottomLeft"/>
      <selection pane="bottomRight" activeCell="G1" sqref="G1:G1048576"/>
    </sheetView>
  </sheetViews>
  <sheetFormatPr baseColWidth="10" defaultColWidth="8.83203125" defaultRowHeight="15" x14ac:dyDescent="0.2"/>
  <cols>
    <col min="1" max="1" width="14" customWidth="1"/>
    <col min="2" max="2" width="9" customWidth="1"/>
    <col min="3" max="3" width="56" customWidth="1"/>
    <col min="4" max="4" width="44" customWidth="1"/>
    <col min="5" max="5" width="12" customWidth="1"/>
    <col min="6" max="7" width="13" customWidth="1"/>
  </cols>
  <sheetData>
    <row r="1" spans="1:7" ht="26" customHeight="1" x14ac:dyDescent="0.25">
      <c r="A1" s="1" t="s">
        <v>22</v>
      </c>
    </row>
    <row r="2" spans="1:7" x14ac:dyDescent="0.2">
      <c r="A2" s="2" t="s">
        <v>23</v>
      </c>
    </row>
    <row r="4" spans="1:7" ht="32" customHeight="1" x14ac:dyDescent="0.2">
      <c r="A4" s="6" t="s">
        <v>24</v>
      </c>
      <c r="B4" s="6" t="s">
        <v>25</v>
      </c>
      <c r="C4" s="6" t="s">
        <v>26</v>
      </c>
      <c r="D4" s="6" t="s">
        <v>8</v>
      </c>
      <c r="E4" s="6" t="s">
        <v>2</v>
      </c>
      <c r="F4" s="6" t="s">
        <v>4</v>
      </c>
      <c r="G4" s="6" t="s">
        <v>27</v>
      </c>
    </row>
    <row r="5" spans="1:7" ht="30" customHeight="1" x14ac:dyDescent="0.2">
      <c r="A5" s="9">
        <v>46244</v>
      </c>
      <c r="B5" s="23" t="s">
        <v>28</v>
      </c>
      <c r="C5" s="24" t="s">
        <v>29</v>
      </c>
      <c r="D5" s="25" t="s">
        <v>30</v>
      </c>
      <c r="E5" s="9">
        <v>46237</v>
      </c>
      <c r="F5" s="10">
        <f>ROUND(5/5,1)</f>
        <v>1</v>
      </c>
      <c r="G5" s="10" t="s">
        <v>31</v>
      </c>
    </row>
    <row r="6" spans="1:7" ht="30" customHeight="1" x14ac:dyDescent="0.2">
      <c r="A6" s="9">
        <v>46252</v>
      </c>
      <c r="B6" s="26" t="s">
        <v>32</v>
      </c>
      <c r="C6" s="24" t="s">
        <v>33</v>
      </c>
      <c r="D6" s="27" t="s">
        <v>34</v>
      </c>
      <c r="E6" s="9">
        <v>46237</v>
      </c>
      <c r="F6" s="10">
        <f>ROUND(10/5,1)</f>
        <v>2</v>
      </c>
      <c r="G6" s="10" t="s">
        <v>31</v>
      </c>
    </row>
    <row r="7" spans="1:7" ht="30" customHeight="1" x14ac:dyDescent="0.2">
      <c r="A7" s="9">
        <v>46252</v>
      </c>
      <c r="B7" s="23" t="s">
        <v>35</v>
      </c>
      <c r="C7" s="24" t="s">
        <v>36</v>
      </c>
      <c r="D7" s="25" t="s">
        <v>30</v>
      </c>
      <c r="E7" s="9">
        <v>46245</v>
      </c>
      <c r="F7" s="10">
        <f>ROUND(5/5,1)</f>
        <v>1</v>
      </c>
      <c r="G7" s="10" t="s">
        <v>31</v>
      </c>
    </row>
    <row r="8" spans="1:7" ht="30" customHeight="1" x14ac:dyDescent="0.2">
      <c r="A8" s="9">
        <v>46259</v>
      </c>
      <c r="B8" s="28" t="s">
        <v>37</v>
      </c>
      <c r="C8" s="24" t="s">
        <v>38</v>
      </c>
      <c r="D8" s="29" t="s">
        <v>39</v>
      </c>
      <c r="E8" s="9">
        <v>46253</v>
      </c>
      <c r="F8" s="10">
        <f>ROUND(5/5,1)</f>
        <v>1</v>
      </c>
      <c r="G8" s="10" t="s">
        <v>31</v>
      </c>
    </row>
    <row r="9" spans="1:7" ht="30" customHeight="1" x14ac:dyDescent="0.2">
      <c r="A9" s="9">
        <v>46266</v>
      </c>
      <c r="B9" s="30" t="s">
        <v>40</v>
      </c>
      <c r="C9" s="24" t="s">
        <v>41</v>
      </c>
      <c r="D9" s="31" t="s">
        <v>42</v>
      </c>
      <c r="E9" s="9">
        <v>46253</v>
      </c>
      <c r="F9" s="10">
        <f>ROUND(10/5,1)</f>
        <v>2</v>
      </c>
      <c r="G9" s="10" t="s">
        <v>31</v>
      </c>
    </row>
    <row r="10" spans="1:7" ht="30" customHeight="1" x14ac:dyDescent="0.2">
      <c r="A10" s="9">
        <v>46266</v>
      </c>
      <c r="B10" s="30" t="s">
        <v>43</v>
      </c>
      <c r="C10" s="24" t="s">
        <v>44</v>
      </c>
      <c r="D10" s="31" t="s">
        <v>42</v>
      </c>
      <c r="E10" s="9">
        <v>46253</v>
      </c>
      <c r="F10" s="10">
        <f>ROUND(10/5,1)</f>
        <v>2</v>
      </c>
      <c r="G10" s="10" t="s">
        <v>31</v>
      </c>
    </row>
    <row r="11" spans="1:7" ht="30" customHeight="1" x14ac:dyDescent="0.2">
      <c r="A11" s="9">
        <v>46273</v>
      </c>
      <c r="B11" s="32" t="s">
        <v>45</v>
      </c>
      <c r="C11" s="24" t="s">
        <v>46</v>
      </c>
      <c r="D11" s="33" t="s">
        <v>47</v>
      </c>
      <c r="E11" s="9">
        <v>46267</v>
      </c>
      <c r="F11" s="10">
        <f t="shared" ref="F11:F16" si="0">ROUND(5/5,1)</f>
        <v>1</v>
      </c>
      <c r="G11" s="10" t="s">
        <v>31</v>
      </c>
    </row>
    <row r="12" spans="1:7" ht="30" customHeight="1" x14ac:dyDescent="0.2">
      <c r="A12" s="9">
        <v>46273</v>
      </c>
      <c r="B12" s="32" t="s">
        <v>48</v>
      </c>
      <c r="C12" s="24" t="s">
        <v>49</v>
      </c>
      <c r="D12" s="33" t="s">
        <v>47</v>
      </c>
      <c r="E12" s="9">
        <v>46267</v>
      </c>
      <c r="F12" s="10">
        <f t="shared" si="0"/>
        <v>1</v>
      </c>
      <c r="G12" s="10" t="s">
        <v>31</v>
      </c>
    </row>
    <row r="13" spans="1:7" ht="30" customHeight="1" x14ac:dyDescent="0.2">
      <c r="A13" s="9">
        <v>46273</v>
      </c>
      <c r="B13" s="30" t="s">
        <v>50</v>
      </c>
      <c r="C13" s="24" t="s">
        <v>51</v>
      </c>
      <c r="D13" s="31" t="s">
        <v>42</v>
      </c>
      <c r="E13" s="9">
        <v>46267</v>
      </c>
      <c r="F13" s="10">
        <f t="shared" si="0"/>
        <v>1</v>
      </c>
      <c r="G13" s="10" t="s">
        <v>31</v>
      </c>
    </row>
    <row r="14" spans="1:7" ht="30" customHeight="1" x14ac:dyDescent="0.2">
      <c r="A14" s="9">
        <v>46273</v>
      </c>
      <c r="B14" s="30" t="s">
        <v>52</v>
      </c>
      <c r="C14" s="24" t="s">
        <v>53</v>
      </c>
      <c r="D14" s="31" t="s">
        <v>42</v>
      </c>
      <c r="E14" s="9">
        <v>46267</v>
      </c>
      <c r="F14" s="10">
        <f t="shared" si="0"/>
        <v>1</v>
      </c>
      <c r="G14" s="10" t="s">
        <v>31</v>
      </c>
    </row>
    <row r="15" spans="1:7" ht="30" customHeight="1" x14ac:dyDescent="0.2">
      <c r="A15" s="9">
        <v>46273</v>
      </c>
      <c r="B15" s="30" t="s">
        <v>54</v>
      </c>
      <c r="C15" s="24" t="s">
        <v>55</v>
      </c>
      <c r="D15" s="31" t="s">
        <v>42</v>
      </c>
      <c r="E15" s="9">
        <v>46267</v>
      </c>
      <c r="F15" s="10">
        <f t="shared" si="0"/>
        <v>1</v>
      </c>
      <c r="G15" s="10" t="s">
        <v>31</v>
      </c>
    </row>
    <row r="16" spans="1:7" ht="30" customHeight="1" x14ac:dyDescent="0.2">
      <c r="A16" s="9">
        <v>46280</v>
      </c>
      <c r="B16" s="32" t="s">
        <v>56</v>
      </c>
      <c r="C16" s="24" t="s">
        <v>57</v>
      </c>
      <c r="D16" s="33" t="s">
        <v>47</v>
      </c>
      <c r="E16" s="9">
        <v>46274</v>
      </c>
      <c r="F16" s="10">
        <f t="shared" si="0"/>
        <v>1</v>
      </c>
      <c r="G16" s="10" t="s">
        <v>31</v>
      </c>
    </row>
    <row r="17" spans="1:7" ht="30" customHeight="1" x14ac:dyDescent="0.2">
      <c r="A17" s="9">
        <v>46280</v>
      </c>
      <c r="B17" s="30" t="s">
        <v>58</v>
      </c>
      <c r="C17" s="24" t="s">
        <v>59</v>
      </c>
      <c r="D17" s="31" t="s">
        <v>42</v>
      </c>
      <c r="E17" s="9">
        <v>46267</v>
      </c>
      <c r="F17" s="10">
        <f>ROUND(10/5,1)</f>
        <v>2</v>
      </c>
      <c r="G17" s="10" t="s">
        <v>31</v>
      </c>
    </row>
    <row r="18" spans="1:7" ht="30" customHeight="1" x14ac:dyDescent="0.2">
      <c r="A18" s="9">
        <v>46280</v>
      </c>
      <c r="B18" s="30" t="s">
        <v>60</v>
      </c>
      <c r="C18" s="24" t="s">
        <v>61</v>
      </c>
      <c r="D18" s="31" t="s">
        <v>42</v>
      </c>
      <c r="E18" s="9">
        <v>46267</v>
      </c>
      <c r="F18" s="10">
        <f>ROUND(10/5,1)</f>
        <v>2</v>
      </c>
      <c r="G18" s="10" t="s">
        <v>31</v>
      </c>
    </row>
    <row r="19" spans="1:7" ht="30" customHeight="1" x14ac:dyDescent="0.2">
      <c r="A19" s="9">
        <v>46287</v>
      </c>
      <c r="B19" s="32" t="s">
        <v>62</v>
      </c>
      <c r="C19" s="24" t="s">
        <v>63</v>
      </c>
      <c r="D19" s="33" t="s">
        <v>47</v>
      </c>
      <c r="E19" s="9">
        <v>46274</v>
      </c>
      <c r="F19" s="10">
        <f>ROUND(10/5,1)</f>
        <v>2</v>
      </c>
      <c r="G19" s="10" t="s">
        <v>31</v>
      </c>
    </row>
    <row r="20" spans="1:7" ht="30" customHeight="1" x14ac:dyDescent="0.2">
      <c r="A20" s="9">
        <v>46287</v>
      </c>
      <c r="B20" s="32" t="s">
        <v>64</v>
      </c>
      <c r="C20" s="24" t="s">
        <v>65</v>
      </c>
      <c r="D20" s="33" t="s">
        <v>47</v>
      </c>
      <c r="E20" s="9">
        <v>46274</v>
      </c>
      <c r="F20" s="10">
        <f>ROUND(10/5,1)</f>
        <v>2</v>
      </c>
      <c r="G20" s="10" t="s">
        <v>31</v>
      </c>
    </row>
    <row r="21" spans="1:7" ht="30" customHeight="1" x14ac:dyDescent="0.2">
      <c r="A21" s="9">
        <v>46287</v>
      </c>
      <c r="B21" s="30" t="s">
        <v>66</v>
      </c>
      <c r="C21" s="24" t="s">
        <v>67</v>
      </c>
      <c r="D21" s="31" t="s">
        <v>42</v>
      </c>
      <c r="E21" s="9">
        <v>46281</v>
      </c>
      <c r="F21" s="10">
        <f>ROUND(5/5,1)</f>
        <v>1</v>
      </c>
      <c r="G21" s="10" t="s">
        <v>31</v>
      </c>
    </row>
    <row r="22" spans="1:7" ht="30" customHeight="1" x14ac:dyDescent="0.2">
      <c r="A22" s="9">
        <v>46301</v>
      </c>
      <c r="B22" s="30" t="s">
        <v>68</v>
      </c>
      <c r="C22" s="24" t="s">
        <v>69</v>
      </c>
      <c r="D22" s="31" t="s">
        <v>42</v>
      </c>
      <c r="E22" s="9">
        <v>46288</v>
      </c>
      <c r="F22" s="10">
        <f>ROUND(10/5,1)</f>
        <v>2</v>
      </c>
      <c r="G22" s="10" t="s">
        <v>31</v>
      </c>
    </row>
    <row r="23" spans="1:7" ht="30" customHeight="1" x14ac:dyDescent="0.2">
      <c r="A23" s="9">
        <v>46314</v>
      </c>
      <c r="B23" s="34" t="s">
        <v>70</v>
      </c>
      <c r="C23" s="24" t="s">
        <v>71</v>
      </c>
      <c r="D23" s="35" t="s">
        <v>72</v>
      </c>
      <c r="E23" s="9">
        <v>46308</v>
      </c>
      <c r="F23" s="10">
        <f t="shared" ref="F23:F30" si="1">ROUND(5/5,1)</f>
        <v>1</v>
      </c>
      <c r="G23" s="10" t="s">
        <v>31</v>
      </c>
    </row>
    <row r="24" spans="1:7" ht="30" customHeight="1" x14ac:dyDescent="0.2">
      <c r="A24" s="9">
        <v>46321</v>
      </c>
      <c r="B24" s="34" t="s">
        <v>73</v>
      </c>
      <c r="C24" s="24" t="s">
        <v>74</v>
      </c>
      <c r="D24" s="35" t="s">
        <v>72</v>
      </c>
      <c r="E24" s="9">
        <v>46315</v>
      </c>
      <c r="F24" s="10">
        <f t="shared" si="1"/>
        <v>1</v>
      </c>
      <c r="G24" s="10" t="s">
        <v>31</v>
      </c>
    </row>
    <row r="25" spans="1:7" ht="30" customHeight="1" x14ac:dyDescent="0.2">
      <c r="A25" s="9">
        <v>46329</v>
      </c>
      <c r="B25" s="34" t="s">
        <v>75</v>
      </c>
      <c r="C25" s="24" t="s">
        <v>76</v>
      </c>
      <c r="D25" s="35" t="s">
        <v>72</v>
      </c>
      <c r="E25" s="9">
        <v>46322</v>
      </c>
      <c r="F25" s="10">
        <f t="shared" si="1"/>
        <v>1</v>
      </c>
      <c r="G25" s="10" t="s">
        <v>31</v>
      </c>
    </row>
    <row r="26" spans="1:7" ht="30" customHeight="1" x14ac:dyDescent="0.2">
      <c r="A26" s="9">
        <v>46329</v>
      </c>
      <c r="B26" s="36" t="s">
        <v>77</v>
      </c>
      <c r="C26" s="24" t="s">
        <v>78</v>
      </c>
      <c r="D26" s="37" t="s">
        <v>79</v>
      </c>
      <c r="E26" s="9">
        <v>46322</v>
      </c>
      <c r="F26" s="10">
        <f t="shared" si="1"/>
        <v>1</v>
      </c>
      <c r="G26" s="10" t="s">
        <v>31</v>
      </c>
    </row>
    <row r="27" spans="1:7" ht="30" customHeight="1" x14ac:dyDescent="0.2">
      <c r="A27" s="9">
        <v>46329</v>
      </c>
      <c r="B27" s="38" t="s">
        <v>80</v>
      </c>
      <c r="C27" s="24" t="s">
        <v>81</v>
      </c>
      <c r="D27" s="39" t="s">
        <v>82</v>
      </c>
      <c r="E27" s="9">
        <v>46322</v>
      </c>
      <c r="F27" s="10">
        <f t="shared" si="1"/>
        <v>1</v>
      </c>
      <c r="G27" s="10" t="s">
        <v>31</v>
      </c>
    </row>
    <row r="28" spans="1:7" ht="30" customHeight="1" x14ac:dyDescent="0.2">
      <c r="A28" s="9">
        <v>46336</v>
      </c>
      <c r="B28" s="34" t="s">
        <v>83</v>
      </c>
      <c r="C28" s="24" t="s">
        <v>84</v>
      </c>
      <c r="D28" s="35" t="s">
        <v>72</v>
      </c>
      <c r="E28" s="9">
        <v>46330</v>
      </c>
      <c r="F28" s="10">
        <f t="shared" si="1"/>
        <v>1</v>
      </c>
      <c r="G28" s="10" t="s">
        <v>31</v>
      </c>
    </row>
    <row r="29" spans="1:7" ht="30" customHeight="1" x14ac:dyDescent="0.2">
      <c r="A29" s="9">
        <v>46336</v>
      </c>
      <c r="B29" s="34" t="s">
        <v>85</v>
      </c>
      <c r="C29" s="24" t="s">
        <v>86</v>
      </c>
      <c r="D29" s="35" t="s">
        <v>72</v>
      </c>
      <c r="E29" s="9">
        <v>46330</v>
      </c>
      <c r="F29" s="10">
        <f t="shared" si="1"/>
        <v>1</v>
      </c>
      <c r="G29" s="10" t="s">
        <v>31</v>
      </c>
    </row>
    <row r="30" spans="1:7" ht="30" customHeight="1" x14ac:dyDescent="0.2">
      <c r="A30" s="9">
        <v>46336</v>
      </c>
      <c r="B30" s="34" t="s">
        <v>87</v>
      </c>
      <c r="C30" s="24" t="s">
        <v>88</v>
      </c>
      <c r="D30" s="35" t="s">
        <v>72</v>
      </c>
      <c r="E30" s="9">
        <v>46330</v>
      </c>
      <c r="F30" s="10">
        <f t="shared" si="1"/>
        <v>1</v>
      </c>
      <c r="G30" s="10" t="s">
        <v>31</v>
      </c>
    </row>
    <row r="31" spans="1:7" ht="30" customHeight="1" x14ac:dyDescent="0.2">
      <c r="A31" s="9">
        <v>46336</v>
      </c>
      <c r="B31" s="40" t="s">
        <v>89</v>
      </c>
      <c r="C31" s="24" t="s">
        <v>90</v>
      </c>
      <c r="D31" s="41" t="s">
        <v>91</v>
      </c>
      <c r="E31" s="9">
        <v>46322</v>
      </c>
      <c r="F31" s="10">
        <f>ROUND(10/5,1)</f>
        <v>2</v>
      </c>
      <c r="G31" s="10" t="s">
        <v>31</v>
      </c>
    </row>
    <row r="32" spans="1:7" ht="30" customHeight="1" x14ac:dyDescent="0.2">
      <c r="A32" s="9">
        <v>46336</v>
      </c>
      <c r="B32" s="36" t="s">
        <v>92</v>
      </c>
      <c r="C32" s="24" t="s">
        <v>93</v>
      </c>
      <c r="D32" s="37" t="s">
        <v>79</v>
      </c>
      <c r="E32" s="9">
        <v>46330</v>
      </c>
      <c r="F32" s="10">
        <f>ROUND(5/5,1)</f>
        <v>1</v>
      </c>
      <c r="G32" s="10" t="s">
        <v>31</v>
      </c>
    </row>
    <row r="33" spans="1:7" ht="30" customHeight="1" x14ac:dyDescent="0.2">
      <c r="A33" s="9">
        <v>46344</v>
      </c>
      <c r="B33" s="34" t="s">
        <v>94</v>
      </c>
      <c r="C33" s="24" t="s">
        <v>95</v>
      </c>
      <c r="D33" s="35" t="s">
        <v>72</v>
      </c>
      <c r="E33" s="9">
        <v>46330</v>
      </c>
      <c r="F33" s="10">
        <f>ROUND(10/5,1)</f>
        <v>2</v>
      </c>
      <c r="G33" s="10" t="s">
        <v>31</v>
      </c>
    </row>
    <row r="34" spans="1:7" ht="30" customHeight="1" x14ac:dyDescent="0.2">
      <c r="A34" s="9">
        <v>46344</v>
      </c>
      <c r="B34" s="34" t="s">
        <v>96</v>
      </c>
      <c r="C34" s="24" t="s">
        <v>97</v>
      </c>
      <c r="D34" s="35" t="s">
        <v>72</v>
      </c>
      <c r="E34" s="9">
        <v>46337</v>
      </c>
      <c r="F34" s="10">
        <f>ROUND(5/5,1)</f>
        <v>1</v>
      </c>
      <c r="G34" s="10" t="s">
        <v>31</v>
      </c>
    </row>
    <row r="35" spans="1:7" ht="30" customHeight="1" x14ac:dyDescent="0.2">
      <c r="A35" s="9">
        <v>46344</v>
      </c>
      <c r="B35" s="40" t="s">
        <v>98</v>
      </c>
      <c r="C35" s="24" t="s">
        <v>99</v>
      </c>
      <c r="D35" s="41" t="s">
        <v>91</v>
      </c>
      <c r="E35" s="9">
        <v>46337</v>
      </c>
      <c r="F35" s="10">
        <f>ROUND(5/5,1)</f>
        <v>1</v>
      </c>
      <c r="G35" s="10" t="s">
        <v>31</v>
      </c>
    </row>
    <row r="36" spans="1:7" ht="30" customHeight="1" x14ac:dyDescent="0.2">
      <c r="A36" s="9">
        <v>46344</v>
      </c>
      <c r="B36" s="40" t="s">
        <v>100</v>
      </c>
      <c r="C36" s="24" t="s">
        <v>101</v>
      </c>
      <c r="D36" s="41" t="s">
        <v>91</v>
      </c>
      <c r="E36" s="9">
        <v>46337</v>
      </c>
      <c r="F36" s="10">
        <f>ROUND(5/5,1)</f>
        <v>1</v>
      </c>
      <c r="G36" s="10" t="s">
        <v>31</v>
      </c>
    </row>
    <row r="37" spans="1:7" ht="30" customHeight="1" x14ac:dyDescent="0.2">
      <c r="A37" s="9">
        <v>46344</v>
      </c>
      <c r="B37" s="40" t="s">
        <v>102</v>
      </c>
      <c r="C37" s="24" t="s">
        <v>103</v>
      </c>
      <c r="D37" s="41" t="s">
        <v>91</v>
      </c>
      <c r="E37" s="9">
        <v>46337</v>
      </c>
      <c r="F37" s="10">
        <f>ROUND(5/5,1)</f>
        <v>1</v>
      </c>
      <c r="G37" s="10" t="s">
        <v>31</v>
      </c>
    </row>
    <row r="38" spans="1:7" ht="30" customHeight="1" x14ac:dyDescent="0.2">
      <c r="A38" s="9">
        <v>46344</v>
      </c>
      <c r="B38" s="36" t="s">
        <v>104</v>
      </c>
      <c r="C38" s="24" t="s">
        <v>105</v>
      </c>
      <c r="D38" s="37" t="s">
        <v>79</v>
      </c>
      <c r="E38" s="9">
        <v>46337</v>
      </c>
      <c r="F38" s="10">
        <f>ROUND(5/5,1)</f>
        <v>1</v>
      </c>
      <c r="G38" s="10" t="s">
        <v>31</v>
      </c>
    </row>
    <row r="39" spans="1:7" ht="30" customHeight="1" x14ac:dyDescent="0.2">
      <c r="A39" s="9">
        <v>46344</v>
      </c>
      <c r="B39" s="38" t="s">
        <v>106</v>
      </c>
      <c r="C39" s="24" t="s">
        <v>107</v>
      </c>
      <c r="D39" s="39" t="s">
        <v>82</v>
      </c>
      <c r="E39" s="9">
        <v>46330</v>
      </c>
      <c r="F39" s="10">
        <f>ROUND(10/5,1)</f>
        <v>2</v>
      </c>
      <c r="G39" s="10" t="s">
        <v>31</v>
      </c>
    </row>
    <row r="40" spans="1:7" ht="30" customHeight="1" x14ac:dyDescent="0.2">
      <c r="A40" s="9">
        <v>46344</v>
      </c>
      <c r="B40" s="38" t="s">
        <v>108</v>
      </c>
      <c r="C40" s="24" t="s">
        <v>109</v>
      </c>
      <c r="D40" s="39" t="s">
        <v>82</v>
      </c>
      <c r="E40" s="9">
        <v>46330</v>
      </c>
      <c r="F40" s="10">
        <f>ROUND(10/5,1)</f>
        <v>2</v>
      </c>
      <c r="G40" s="10" t="s">
        <v>31</v>
      </c>
    </row>
    <row r="41" spans="1:7" ht="30" customHeight="1" x14ac:dyDescent="0.2">
      <c r="A41" s="9">
        <v>46344</v>
      </c>
      <c r="B41" s="38" t="s">
        <v>110</v>
      </c>
      <c r="C41" s="24" t="s">
        <v>111</v>
      </c>
      <c r="D41" s="39" t="s">
        <v>82</v>
      </c>
      <c r="E41" s="9">
        <v>46330</v>
      </c>
      <c r="F41" s="10">
        <f>ROUND(10/5,1)</f>
        <v>2</v>
      </c>
      <c r="G41" s="10" t="s">
        <v>31</v>
      </c>
    </row>
    <row r="42" spans="1:7" ht="30" customHeight="1" x14ac:dyDescent="0.2">
      <c r="A42" s="9">
        <v>46344</v>
      </c>
      <c r="B42" s="42" t="s">
        <v>112</v>
      </c>
      <c r="C42" s="24" t="s">
        <v>113</v>
      </c>
      <c r="D42" s="43" t="s">
        <v>114</v>
      </c>
      <c r="E42" s="9">
        <v>46337</v>
      </c>
      <c r="F42" s="10">
        <f>ROUND(5/5,1)</f>
        <v>1</v>
      </c>
      <c r="G42" s="10" t="s">
        <v>31</v>
      </c>
    </row>
    <row r="43" spans="1:7" ht="30" customHeight="1" x14ac:dyDescent="0.2">
      <c r="A43" s="9">
        <v>46344</v>
      </c>
      <c r="B43" s="42" t="s">
        <v>115</v>
      </c>
      <c r="C43" s="24" t="s">
        <v>116</v>
      </c>
      <c r="D43" s="43" t="s">
        <v>114</v>
      </c>
      <c r="E43" s="9">
        <v>46337</v>
      </c>
      <c r="F43" s="10">
        <f>ROUND(5/5,1)</f>
        <v>1</v>
      </c>
      <c r="G43" s="10" t="s">
        <v>31</v>
      </c>
    </row>
    <row r="44" spans="1:7" ht="30" customHeight="1" x14ac:dyDescent="0.2">
      <c r="A44" s="9">
        <v>46351</v>
      </c>
      <c r="B44" s="34" t="s">
        <v>117</v>
      </c>
      <c r="C44" s="24" t="s">
        <v>118</v>
      </c>
      <c r="D44" s="35" t="s">
        <v>72</v>
      </c>
      <c r="E44" s="9">
        <v>46345</v>
      </c>
      <c r="F44" s="10">
        <f>ROUND(5/5,1)</f>
        <v>1</v>
      </c>
      <c r="G44" s="10" t="s">
        <v>31</v>
      </c>
    </row>
    <row r="45" spans="1:7" ht="30" customHeight="1" x14ac:dyDescent="0.2">
      <c r="A45" s="9">
        <v>46351</v>
      </c>
      <c r="B45" s="34" t="s">
        <v>119</v>
      </c>
      <c r="C45" s="24" t="s">
        <v>120</v>
      </c>
      <c r="D45" s="35" t="s">
        <v>72</v>
      </c>
      <c r="E45" s="9">
        <v>46345</v>
      </c>
      <c r="F45" s="10">
        <f>ROUND(5/5,1)</f>
        <v>1</v>
      </c>
      <c r="G45" s="10" t="s">
        <v>31</v>
      </c>
    </row>
    <row r="46" spans="1:7" ht="30" customHeight="1" x14ac:dyDescent="0.2">
      <c r="A46" s="9">
        <v>46351</v>
      </c>
      <c r="B46" s="40" t="s">
        <v>121</v>
      </c>
      <c r="C46" s="24" t="s">
        <v>122</v>
      </c>
      <c r="D46" s="41" t="s">
        <v>91</v>
      </c>
      <c r="E46" s="9">
        <v>46345</v>
      </c>
      <c r="F46" s="10">
        <f>ROUND(5/5,1)</f>
        <v>1</v>
      </c>
      <c r="G46" s="10" t="s">
        <v>31</v>
      </c>
    </row>
    <row r="47" spans="1:7" ht="30" customHeight="1" x14ac:dyDescent="0.2">
      <c r="A47" s="9">
        <v>46351</v>
      </c>
      <c r="B47" s="36" t="s">
        <v>123</v>
      </c>
      <c r="C47" s="24" t="s">
        <v>124</v>
      </c>
      <c r="D47" s="37" t="s">
        <v>79</v>
      </c>
      <c r="E47" s="9">
        <v>46337</v>
      </c>
      <c r="F47" s="10">
        <f>ROUND(10/5,1)</f>
        <v>2</v>
      </c>
      <c r="G47" s="10" t="s">
        <v>31</v>
      </c>
    </row>
    <row r="48" spans="1:7" ht="30" customHeight="1" x14ac:dyDescent="0.2">
      <c r="A48" s="9">
        <v>46351</v>
      </c>
      <c r="B48" s="38" t="s">
        <v>125</v>
      </c>
      <c r="C48" s="24" t="s">
        <v>126</v>
      </c>
      <c r="D48" s="39" t="s">
        <v>82</v>
      </c>
      <c r="E48" s="9">
        <v>46345</v>
      </c>
      <c r="F48" s="10">
        <f t="shared" ref="F48:F57" si="2">ROUND(5/5,1)</f>
        <v>1</v>
      </c>
      <c r="G48" s="10" t="s">
        <v>31</v>
      </c>
    </row>
    <row r="49" spans="1:7" ht="30" customHeight="1" x14ac:dyDescent="0.2">
      <c r="A49" s="9">
        <v>46351</v>
      </c>
      <c r="B49" s="42" t="s">
        <v>127</v>
      </c>
      <c r="C49" s="24" t="s">
        <v>128</v>
      </c>
      <c r="D49" s="43" t="s">
        <v>114</v>
      </c>
      <c r="E49" s="9">
        <v>46345</v>
      </c>
      <c r="F49" s="10">
        <f t="shared" si="2"/>
        <v>1</v>
      </c>
      <c r="G49" s="10" t="s">
        <v>31</v>
      </c>
    </row>
    <row r="50" spans="1:7" ht="30" customHeight="1" x14ac:dyDescent="0.2">
      <c r="A50" s="9">
        <v>46351</v>
      </c>
      <c r="B50" s="42" t="s">
        <v>129</v>
      </c>
      <c r="C50" s="24" t="s">
        <v>130</v>
      </c>
      <c r="D50" s="43" t="s">
        <v>114</v>
      </c>
      <c r="E50" s="9">
        <v>46345</v>
      </c>
      <c r="F50" s="10">
        <f t="shared" si="2"/>
        <v>1</v>
      </c>
      <c r="G50" s="10" t="s">
        <v>31</v>
      </c>
    </row>
    <row r="51" spans="1:7" ht="30" customHeight="1" x14ac:dyDescent="0.2">
      <c r="A51" s="9">
        <v>46358</v>
      </c>
      <c r="B51" s="36" t="s">
        <v>131</v>
      </c>
      <c r="C51" s="24" t="s">
        <v>132</v>
      </c>
      <c r="D51" s="37" t="s">
        <v>79</v>
      </c>
      <c r="E51" s="9">
        <v>46352</v>
      </c>
      <c r="F51" s="10">
        <f t="shared" si="2"/>
        <v>1</v>
      </c>
      <c r="G51" s="10" t="s">
        <v>31</v>
      </c>
    </row>
    <row r="52" spans="1:7" ht="30" customHeight="1" x14ac:dyDescent="0.2">
      <c r="A52" s="9">
        <v>46358</v>
      </c>
      <c r="B52" s="38" t="s">
        <v>133</v>
      </c>
      <c r="C52" s="24" t="s">
        <v>134</v>
      </c>
      <c r="D52" s="39" t="s">
        <v>82</v>
      </c>
      <c r="E52" s="9">
        <v>46352</v>
      </c>
      <c r="F52" s="10">
        <f t="shared" si="2"/>
        <v>1</v>
      </c>
      <c r="G52" s="10" t="s">
        <v>31</v>
      </c>
    </row>
    <row r="53" spans="1:7" ht="30" customHeight="1" x14ac:dyDescent="0.2">
      <c r="A53" s="9">
        <v>46358</v>
      </c>
      <c r="B53" s="42" t="s">
        <v>135</v>
      </c>
      <c r="C53" s="24" t="s">
        <v>136</v>
      </c>
      <c r="D53" s="43" t="s">
        <v>114</v>
      </c>
      <c r="E53" s="9">
        <v>46352</v>
      </c>
      <c r="F53" s="10">
        <f t="shared" si="2"/>
        <v>1</v>
      </c>
      <c r="G53" s="10" t="s">
        <v>31</v>
      </c>
    </row>
    <row r="54" spans="1:7" ht="30" customHeight="1" x14ac:dyDescent="0.2">
      <c r="A54" s="9">
        <v>46366</v>
      </c>
      <c r="B54" s="42" t="s">
        <v>137</v>
      </c>
      <c r="C54" s="24" t="s">
        <v>138</v>
      </c>
      <c r="D54" s="43" t="s">
        <v>114</v>
      </c>
      <c r="E54" s="9">
        <v>46359</v>
      </c>
      <c r="F54" s="10">
        <f t="shared" si="2"/>
        <v>1</v>
      </c>
      <c r="G54" s="10" t="s">
        <v>31</v>
      </c>
    </row>
    <row r="55" spans="1:7" ht="30" customHeight="1" x14ac:dyDescent="0.2">
      <c r="A55" s="9">
        <v>46373</v>
      </c>
      <c r="B55" s="42" t="s">
        <v>139</v>
      </c>
      <c r="C55" s="24" t="s">
        <v>140</v>
      </c>
      <c r="D55" s="43" t="s">
        <v>114</v>
      </c>
      <c r="E55" s="9">
        <v>46367</v>
      </c>
      <c r="F55" s="10">
        <f t="shared" si="2"/>
        <v>1</v>
      </c>
      <c r="G55" s="10" t="s">
        <v>31</v>
      </c>
    </row>
    <row r="56" spans="1:7" ht="30" customHeight="1" x14ac:dyDescent="0.2">
      <c r="A56" s="9">
        <v>46399</v>
      </c>
      <c r="B56" s="44" t="s">
        <v>141</v>
      </c>
      <c r="C56" s="24" t="s">
        <v>142</v>
      </c>
      <c r="D56" s="45" t="s">
        <v>143</v>
      </c>
      <c r="E56" s="9">
        <v>46374</v>
      </c>
      <c r="F56" s="10">
        <f t="shared" si="2"/>
        <v>1</v>
      </c>
      <c r="G56" s="10" t="s">
        <v>31</v>
      </c>
    </row>
    <row r="57" spans="1:7" ht="30" customHeight="1" x14ac:dyDescent="0.2">
      <c r="A57" s="9">
        <v>46399</v>
      </c>
      <c r="B57" s="44" t="s">
        <v>144</v>
      </c>
      <c r="C57" s="24" t="s">
        <v>145</v>
      </c>
      <c r="D57" s="45" t="s">
        <v>143</v>
      </c>
      <c r="E57" s="9">
        <v>46374</v>
      </c>
      <c r="F57" s="10">
        <f t="shared" si="2"/>
        <v>1</v>
      </c>
      <c r="G57" s="10" t="s">
        <v>31</v>
      </c>
    </row>
    <row r="58" spans="1:7" ht="30" customHeight="1" x14ac:dyDescent="0.2">
      <c r="A58" s="9">
        <v>46409</v>
      </c>
      <c r="B58" s="44" t="s">
        <v>146</v>
      </c>
      <c r="C58" s="24" t="s">
        <v>147</v>
      </c>
      <c r="D58" s="45" t="s">
        <v>143</v>
      </c>
      <c r="E58" s="9">
        <v>46395</v>
      </c>
      <c r="F58" s="10">
        <f>ROUND(10/5,1)</f>
        <v>2</v>
      </c>
      <c r="G58" s="10" t="s">
        <v>31</v>
      </c>
    </row>
    <row r="59" spans="1:7" ht="30" customHeight="1" x14ac:dyDescent="0.2">
      <c r="A59" s="9">
        <v>46437</v>
      </c>
      <c r="B59" s="44" t="s">
        <v>148</v>
      </c>
      <c r="C59" s="24" t="s">
        <v>149</v>
      </c>
      <c r="D59" s="45" t="s">
        <v>143</v>
      </c>
      <c r="E59" s="9">
        <v>46412</v>
      </c>
      <c r="F59" s="10">
        <f>ROUND(20/5,1)</f>
        <v>4</v>
      </c>
      <c r="G59" s="10" t="s">
        <v>31</v>
      </c>
    </row>
    <row r="60" spans="1:7" ht="30" customHeight="1" x14ac:dyDescent="0.2">
      <c r="A60" s="9">
        <v>46444</v>
      </c>
      <c r="B60" s="44" t="s">
        <v>150</v>
      </c>
      <c r="C60" s="24" t="s">
        <v>151</v>
      </c>
      <c r="D60" s="45" t="s">
        <v>143</v>
      </c>
      <c r="E60" s="9">
        <v>46412</v>
      </c>
      <c r="F60" s="10">
        <f>ROUND(25/5,1)</f>
        <v>5</v>
      </c>
      <c r="G60" s="10" t="s">
        <v>31</v>
      </c>
    </row>
    <row r="61" spans="1:7" ht="30" customHeight="1" x14ac:dyDescent="0.2">
      <c r="A61" s="9">
        <v>46448</v>
      </c>
      <c r="B61" s="44" t="s">
        <v>152</v>
      </c>
      <c r="C61" s="24" t="s">
        <v>153</v>
      </c>
      <c r="D61" s="45" t="s">
        <v>143</v>
      </c>
      <c r="E61" s="9">
        <v>46442</v>
      </c>
      <c r="F61" s="10">
        <f>ROUND(5/5,1)</f>
        <v>1</v>
      </c>
      <c r="G61" s="10" t="s">
        <v>31</v>
      </c>
    </row>
    <row r="62" spans="1:7" ht="30" customHeight="1" x14ac:dyDescent="0.2">
      <c r="A62" s="9">
        <v>46455</v>
      </c>
      <c r="B62" s="44" t="s">
        <v>154</v>
      </c>
      <c r="C62" s="24" t="s">
        <v>155</v>
      </c>
      <c r="D62" s="45" t="s">
        <v>143</v>
      </c>
      <c r="E62" s="9">
        <v>46449</v>
      </c>
      <c r="F62" s="10">
        <f>ROUND(5/5,1)</f>
        <v>1</v>
      </c>
      <c r="G62" s="10" t="s">
        <v>31</v>
      </c>
    </row>
    <row r="63" spans="1:7" ht="30" customHeight="1" x14ac:dyDescent="0.2">
      <c r="A63" s="9">
        <v>46470</v>
      </c>
      <c r="B63" s="44" t="s">
        <v>156</v>
      </c>
      <c r="C63" s="24" t="s">
        <v>157</v>
      </c>
      <c r="D63" s="45" t="s">
        <v>143</v>
      </c>
      <c r="E63" s="9">
        <v>46456</v>
      </c>
      <c r="F63" s="10">
        <f>ROUND(10/5,1)</f>
        <v>2</v>
      </c>
      <c r="G63" s="10" t="s">
        <v>31</v>
      </c>
    </row>
    <row r="64" spans="1:7" ht="30" customHeight="1" x14ac:dyDescent="0.2">
      <c r="A64" s="9">
        <v>46477</v>
      </c>
      <c r="B64" s="44" t="s">
        <v>158</v>
      </c>
      <c r="C64" s="24" t="s">
        <v>159</v>
      </c>
      <c r="D64" s="45" t="s">
        <v>143</v>
      </c>
      <c r="E64" s="9">
        <v>46461</v>
      </c>
      <c r="F64" s="10">
        <f>ROUND(10/5,1)</f>
        <v>2</v>
      </c>
      <c r="G64" s="10" t="s">
        <v>31</v>
      </c>
    </row>
    <row r="65" spans="1:7" ht="30" customHeight="1" x14ac:dyDescent="0.2">
      <c r="A65" s="9">
        <v>46479</v>
      </c>
      <c r="B65" s="44" t="s">
        <v>160</v>
      </c>
      <c r="C65" s="24" t="s">
        <v>161</v>
      </c>
      <c r="D65" s="45" t="s">
        <v>143</v>
      </c>
      <c r="E65" s="9">
        <v>46475</v>
      </c>
      <c r="F65" s="10">
        <f>ROUND(5/5,1)</f>
        <v>1</v>
      </c>
      <c r="G65" s="10" t="s">
        <v>31</v>
      </c>
    </row>
    <row r="66" spans="1:7" ht="30" customHeight="1" x14ac:dyDescent="0.2">
      <c r="A66" s="9">
        <v>46493</v>
      </c>
      <c r="B66" s="44" t="s">
        <v>162</v>
      </c>
      <c r="C66" s="24" t="s">
        <v>163</v>
      </c>
      <c r="D66" s="45" t="s">
        <v>143</v>
      </c>
      <c r="E66" s="9">
        <v>46482</v>
      </c>
      <c r="F66" s="10">
        <f>ROUND(10/5,1)</f>
        <v>2</v>
      </c>
      <c r="G66" s="10" t="s">
        <v>31</v>
      </c>
    </row>
    <row r="67" spans="1:7" ht="30" customHeight="1" x14ac:dyDescent="0.2">
      <c r="A67" s="9">
        <v>46500</v>
      </c>
      <c r="B67" s="44" t="s">
        <v>164</v>
      </c>
      <c r="C67" s="24" t="s">
        <v>165</v>
      </c>
      <c r="D67" s="45" t="s">
        <v>143</v>
      </c>
      <c r="E67" s="9">
        <v>46496</v>
      </c>
      <c r="F67" s="10">
        <f>ROUND(5/5,1)</f>
        <v>1</v>
      </c>
      <c r="G67" s="10" t="s">
        <v>31</v>
      </c>
    </row>
    <row r="68" spans="1:7" ht="30" customHeight="1" x14ac:dyDescent="0.2">
      <c r="A68" s="9">
        <v>46500</v>
      </c>
      <c r="B68" s="46" t="s">
        <v>166</v>
      </c>
      <c r="C68" s="24" t="s">
        <v>167</v>
      </c>
      <c r="D68" s="47" t="s">
        <v>168</v>
      </c>
      <c r="E68" s="9">
        <v>46496</v>
      </c>
      <c r="F68" s="10">
        <f>ROUND(5/5,1)</f>
        <v>1</v>
      </c>
      <c r="G68" s="10" t="s">
        <v>31</v>
      </c>
    </row>
    <row r="69" spans="1:7" ht="30" customHeight="1" x14ac:dyDescent="0.2">
      <c r="A69" s="9">
        <v>46514</v>
      </c>
      <c r="B69" s="46" t="s">
        <v>169</v>
      </c>
      <c r="C69" s="24" t="s">
        <v>170</v>
      </c>
      <c r="D69" s="47" t="s">
        <v>168</v>
      </c>
      <c r="E69" s="9">
        <v>46503</v>
      </c>
      <c r="F69" s="10">
        <f>ROUND(10/5,1)</f>
        <v>2</v>
      </c>
      <c r="G69" s="10" t="s">
        <v>31</v>
      </c>
    </row>
    <row r="70" spans="1:7" ht="30" customHeight="1" x14ac:dyDescent="0.2">
      <c r="A70" s="9">
        <v>46514</v>
      </c>
      <c r="B70" s="46" t="s">
        <v>171</v>
      </c>
      <c r="C70" s="24" t="s">
        <v>172</v>
      </c>
      <c r="D70" s="47" t="s">
        <v>168</v>
      </c>
      <c r="E70" s="9">
        <v>46503</v>
      </c>
      <c r="F70" s="10">
        <f>ROUND(10/5,1)</f>
        <v>2</v>
      </c>
      <c r="G70" s="10" t="s">
        <v>31</v>
      </c>
    </row>
    <row r="71" spans="1:7" ht="30" customHeight="1" x14ac:dyDescent="0.2">
      <c r="A71" s="9">
        <v>46554</v>
      </c>
      <c r="B71" s="46" t="s">
        <v>173</v>
      </c>
      <c r="C71" s="24" t="s">
        <v>174</v>
      </c>
      <c r="D71" s="47" t="s">
        <v>168</v>
      </c>
      <c r="E71" s="9">
        <v>46518</v>
      </c>
      <c r="F71" s="10">
        <f>ROUND(25/5,1)</f>
        <v>5</v>
      </c>
      <c r="G71" s="10" t="s">
        <v>31</v>
      </c>
    </row>
    <row r="72" spans="1:7" ht="30" customHeight="1" x14ac:dyDescent="0.2">
      <c r="A72" s="9">
        <v>46568</v>
      </c>
      <c r="B72" s="46" t="s">
        <v>175</v>
      </c>
      <c r="C72" s="24" t="s">
        <v>176</v>
      </c>
      <c r="D72" s="47" t="s">
        <v>168</v>
      </c>
      <c r="E72" s="9">
        <v>46518</v>
      </c>
      <c r="F72" s="10">
        <f>ROUND(35/5,1)</f>
        <v>7</v>
      </c>
      <c r="G72" s="10" t="s">
        <v>31</v>
      </c>
    </row>
    <row r="73" spans="1:7" ht="30" customHeight="1" x14ac:dyDescent="0.2">
      <c r="A73" s="9">
        <v>46576</v>
      </c>
      <c r="B73" s="46" t="s">
        <v>177</v>
      </c>
      <c r="C73" s="24" t="s">
        <v>178</v>
      </c>
      <c r="D73" s="47" t="s">
        <v>168</v>
      </c>
      <c r="E73" s="9">
        <v>46569</v>
      </c>
      <c r="F73" s="10">
        <f>ROUND(5/5,1)</f>
        <v>1</v>
      </c>
      <c r="G73" s="10" t="s">
        <v>31</v>
      </c>
    </row>
    <row r="74" spans="1:7" ht="30" customHeight="1" x14ac:dyDescent="0.2">
      <c r="A74" s="9">
        <v>46583</v>
      </c>
      <c r="B74" s="46" t="s">
        <v>179</v>
      </c>
      <c r="C74" s="24" t="s">
        <v>180</v>
      </c>
      <c r="D74" s="47" t="s">
        <v>168</v>
      </c>
      <c r="E74" s="9">
        <v>46577</v>
      </c>
      <c r="F74" s="10">
        <f>ROUND(5/5,1)</f>
        <v>1</v>
      </c>
      <c r="G74" s="10" t="s">
        <v>31</v>
      </c>
    </row>
  </sheetData>
  <autoFilter ref="A4:G74" xr:uid="{00000000-0009-0000-0000-000001000000}"/>
  <conditionalFormatting sqref="G5:G74">
    <cfRule type="expression" dxfId="2" priority="1">
      <formula>$G5="Entregado"</formula>
    </cfRule>
    <cfRule type="expression" dxfId="1" priority="2">
      <formula>$G5="En curso"</formula>
    </cfRule>
    <cfRule type="expression" dxfId="0" priority="3">
      <formula>$G5="Atrasado"</formula>
    </cfRule>
  </conditionalFormatting>
  <dataValidations count="1">
    <dataValidation type="list" sqref="G5:G74" xr:uid="{00000000-0002-0000-0100-000000000000}">
      <formula1>"Planificado,En curso,Entregado,Atrasado"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Calendario de entregables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 Gongora Rasmussen</cp:lastModifiedBy>
  <dcterms:created xsi:type="dcterms:W3CDTF">2026-10-11T19:43:47Z</dcterms:created>
  <dcterms:modified xsi:type="dcterms:W3CDTF">2026-10-12T04:48:02Z</dcterms:modified>
</cp:coreProperties>
</file>