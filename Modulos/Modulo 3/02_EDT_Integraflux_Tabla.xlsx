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2CD5E664-28DB-914B-868C-CC704782C04C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EDT Tabla" sheetId="1" r:id="rId1"/>
  </sheets>
  <definedNames>
    <definedName name="_xlnm._FilterDatabase" localSheetId="0" hidden="1">'EDT Tabla'!$A$4:$I$86</definedName>
    <definedName name="_xlnm.Print_Titles" localSheetId="0">'EDT Tabla'!$4:$4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  <c r="G79" i="1"/>
  <c r="H66" i="1"/>
  <c r="G66" i="1"/>
  <c r="H58" i="1"/>
  <c r="G58" i="1"/>
  <c r="H51" i="1"/>
  <c r="G51" i="1"/>
  <c r="H45" i="1"/>
  <c r="G45" i="1"/>
  <c r="H39" i="1"/>
  <c r="G39" i="1"/>
  <c r="H28" i="1"/>
  <c r="G28" i="1"/>
  <c r="H18" i="1"/>
  <c r="G18" i="1"/>
  <c r="H15" i="1"/>
  <c r="G15" i="1"/>
  <c r="H9" i="1"/>
  <c r="G9" i="1"/>
  <c r="H7" i="1"/>
  <c r="G7" i="1"/>
  <c r="H5" i="1"/>
  <c r="G5" i="1"/>
</calcChain>
</file>

<file path=xl/sharedStrings.xml><?xml version="1.0" encoding="utf-8"?>
<sst xmlns="http://schemas.openxmlformats.org/spreadsheetml/2006/main" count="467" uniqueCount="348">
  <si>
    <t>EDT del Proyecto Integraflux – Automatización de la línea de quesos</t>
  </si>
  <si>
    <t>12 paquetes de trabajo · 70 entregables · las actividades principales van codificadas dentro de cada entregable · fechas según el calendario del proyecto (inicio 03/08/2026, supuesto)</t>
  </si>
  <si>
    <t>Cód. EDT</t>
  </si>
  <si>
    <t>Paquete / Entregable</t>
  </si>
  <si>
    <t>Actividades principales</t>
  </si>
  <si>
    <t>Entregable (producto)</t>
  </si>
  <si>
    <t>Módulo de la materia</t>
  </si>
  <si>
    <t>Duración (días hábiles)</t>
  </si>
  <si>
    <t>Inicio</t>
  </si>
  <si>
    <t>Fin</t>
  </si>
  <si>
    <t>Predecesoras</t>
  </si>
  <si>
    <t>1</t>
  </si>
  <si>
    <t>Modelo de 12 capas de las líneas iniciales</t>
  </si>
  <si>
    <t>1 entregable</t>
  </si>
  <si>
    <t>1.1</t>
  </si>
  <si>
    <t>Análisis de las 12 capas de las tres líneas iniciales</t>
  </si>
  <si>
    <t>1.1.1 Capa 1 — Contexto
1.1.2 Capa 2 — Materias primas
1.1.3 Capa 3 — Flujo general
1.1.4 Capa 4 — Proceso detallado
1.1.5 Capa 5 — Equipos
1.1.6 Capa 6 — Variables
1.1.7 Capa 7 — Sensores y actuadores
1.1.8 Capa 8 — Tiempos
1.1.9 Capa 9 — Capacidades
1.1.10 Capa 10 — Recursos
1.1.11 Capa 11 — Recetas
1.1.12 Capa 12 — Batches y trazabilidad</t>
  </si>
  <si>
    <t>Archivos .md del repositorio con las 12 capas: Linea de quesos, Linea de yogures y Linea de leche UHT</t>
  </si>
  <si>
    <t>TDI (ISA-95 / ISA-88)</t>
  </si>
  <si>
    <t>—</t>
  </si>
  <si>
    <t>2</t>
  </si>
  <si>
    <t>Selección de la línea a automatizar</t>
  </si>
  <si>
    <t>2.1</t>
  </si>
  <si>
    <t>Matriz de decisión para seleccionar la línea</t>
  </si>
  <si>
    <t>2.1.1 Definir criterios (impacto, complejidad, retorno, viabilidad técnica) y escala de ponderación
2.1.2 Evaluar yogures, UHT y quesos contra cada criterio
2.1.3 Calcular puntajes y justificar la línea seleccionada (quesos)</t>
  </si>
  <si>
    <t>Matriz de decisión evaluada: línea de quesos seleccionada</t>
  </si>
  <si>
    <t>Gestión y evaluación de la producción</t>
  </si>
  <si>
    <t>3</t>
  </si>
  <si>
    <t>Arquitectura TDI de la planta</t>
  </si>
  <si>
    <t>5 entregables</t>
  </si>
  <si>
    <t>3.1</t>
  </si>
  <si>
    <t>Modelo físico ISA-88</t>
  </si>
  <si>
    <t>3.1.1 Definir jerarquía planta / área / unidad / módulo de equipo
3.1.2 Asignar equipos de cada línea a unidades y módulos</t>
  </si>
  <si>
    <t>Modelo físico ISA-88 de las tres líneas</t>
  </si>
  <si>
    <t>5.1</t>
  </si>
  <si>
    <t>3.2</t>
  </si>
  <si>
    <t>Modelo procedimental y recetas maestras ISA-88</t>
  </si>
  <si>
    <t>3.2.1 Definir procedimientos, operaciones y fases
3.2.2 Estructurar recetas maestras por producto
3.2.3 Definir parámetros y rangos de receta</t>
  </si>
  <si>
    <t>Modelo procedimental y recetas maestras</t>
  </si>
  <si>
    <t>3.3</t>
  </si>
  <si>
    <t>Modelo jerárquico ISA-95 y flujo de información</t>
  </si>
  <si>
    <t>3.3.1 Definir niveles 0 a 4 del sistema productivo
3.3.2 Definir flujo de información ascendente y descendente</t>
  </si>
  <si>
    <t>Modelo ISA-95 y diagrama de flujo de información</t>
  </si>
  <si>
    <t>3.4</t>
  </si>
  <si>
    <t>Arquitectura de automatización e integración OT/IT</t>
  </si>
  <si>
    <t>3.4.1 Definir arquitectura Proceso → Sensores y actuadores → Control → SCADA → MES → ERP
3.4.2 Definir redes y protocolos de comunicación
3.4.3 Definir criterios de ciberseguridad y disponibilidad</t>
  </si>
  <si>
    <t>Arquitectura integral de automatización de la planta</t>
  </si>
  <si>
    <t>3.3, 3.1</t>
  </si>
  <si>
    <t>3.5</t>
  </si>
  <si>
    <t>Requerimientos de información MES / ERP</t>
  </si>
  <si>
    <t>3.5.1 Definir necesidades de información: órdenes, lotes, recetas, calidad, paradas
3.5.2 Definir trazabilidad por batch
3.5.3 Definir relación conceptual con MES y ERP</t>
  </si>
  <si>
    <t>Especificación conceptual de requerimientos MES / ERP</t>
  </si>
  <si>
    <t>4</t>
  </si>
  <si>
    <t>Planeación y dirección del proyecto</t>
  </si>
  <si>
    <t>2 entregables</t>
  </si>
  <si>
    <t>4.1</t>
  </si>
  <si>
    <t>EDT del proyecto</t>
  </si>
  <si>
    <t>4.1.1 Identificar fases y entregables principales
4.1.2 Descomponer entregables en actividades
4.1.3 Codificar la EDT y asignar responsables</t>
  </si>
  <si>
    <t>EDT del proyecto: diagrama y tabla con códigos</t>
  </si>
  <si>
    <t>Planeación y evaluación de proyectos</t>
  </si>
  <si>
    <t>4.2</t>
  </si>
  <si>
    <t>Cronograma y calendario del proyecto</t>
  </si>
  <si>
    <t>4.2.1 Estimar duraciones y secuenciar actividades
4.2.2 Asignar recursos y fechas de entrega
4.2.3 Definir hitos y ruta crítica
4.2.4 Publicar calendario de entregables y Gantt</t>
  </si>
  <si>
    <t>Cronograma (Gantt) y calendario de entregables</t>
  </si>
  <si>
    <t>5</t>
  </si>
  <si>
    <t>Diagnóstico del estado actual de la planta</t>
  </si>
  <si>
    <t>9 entregables</t>
  </si>
  <si>
    <t>Diagramas de proceso de las tres líneas</t>
  </si>
  <si>
    <t>5.1.1 Elaborar diagramas de flujo de cada línea
5.1.2 Identificar operaciones batch, continuas y discretas
5.1.3 Documentar entradas, salidas y subproductos</t>
  </si>
  <si>
    <t>5.2</t>
  </si>
  <si>
    <t>Diagrama de flujo de proceso (PFD) de las tres líneas</t>
  </si>
  <si>
    <t>5.2.1 Elaborar el PFD de cada línea con equipos principales y corrientes
5.2.2 Incluir flujos principales y balance de masa (leche, cuajada, suero, producto)
5.2.3 Identificar operaciones batch, continuas y discretas y los servicios asociados</t>
  </si>
  <si>
    <t>PFD de las tres líneas</t>
  </si>
  <si>
    <t>5.3</t>
  </si>
  <si>
    <t>Layout de planta y recursos compartidos</t>
  </si>
  <si>
    <t>5.3.1 Levantar distribución actual de la planta
5.3.2 Identificar servicios industriales y recursos compartidos
5.3.3 Elaborar plano de distribución actual</t>
  </si>
  <si>
    <t>Layout actual de la planta (plano)</t>
  </si>
  <si>
    <t>5.4</t>
  </si>
  <si>
    <t>Diagrama de espagueti del estado actual</t>
  </si>
  <si>
    <t>5.4.1 Trazar sobre el plano de planta los recorridos de material, personal y producto
5.4.2 Medir distancias, cruces de flujo y tiempos de desplazamiento
5.4.3 Identificar movimientos innecesarios y oportunidades de reubicación</t>
  </si>
  <si>
    <t>Diagramas de espagueti del estado actual</t>
  </si>
  <si>
    <t>5.1, 5.3</t>
  </si>
  <si>
    <t>5.5</t>
  </si>
  <si>
    <t>VSM del estado actual</t>
  </si>
  <si>
    <t>5.5.1 Mapear flujo de material e información
5.5.2 Registrar tiempos de ciclo, esperas e inventarios
5.5.3 Dibujar el mapa de valor del estado actual</t>
  </si>
  <si>
    <t>VSM del estado actual (por línea)</t>
  </si>
  <si>
    <t>5.6</t>
  </si>
  <si>
    <t>Diagrama de análisis de proceso (flow process chart) del estado actual</t>
  </si>
  <si>
    <t>5.6.1 Clasificar cada paso (operación, transporte, demora, inspección, almacenamiento) con tiempo y distancia
5.6.2 Calcular tiempo total, distancia recorrida y porcentaje de actividades que agregan valor
5.6.3 Identificar actividades sin valor y oportunidades de mejora</t>
  </si>
  <si>
    <t>Diagramas de análisis de proceso del estado actual</t>
  </si>
  <si>
    <t>5.7</t>
  </si>
  <si>
    <t>Análisis de tiempos y capacidades</t>
  </si>
  <si>
    <t>5.7.1 Compilar tiempos de proceso, setup, cambio de receta y limpieza
5.7.2 Calcular capacidades por equipo y por lote
5.7.3 Identificar paradas y causas de falla</t>
  </si>
  <si>
    <t>Informe de tiempos y capacidades</t>
  </si>
  <si>
    <t>5.8</t>
  </si>
  <si>
    <t>Indicadores de desempeño línea base</t>
  </si>
  <si>
    <t>5.8.1 Calcular OEE, Takt Time, Throughput y MLT
5.8.2 Calcular utilización, disponibilidad y calidad
5.8.3 Consolidar tablero de línea base</t>
  </si>
  <si>
    <t>Tablero de indicadores línea base</t>
  </si>
  <si>
    <t>5.5, 5.7</t>
  </si>
  <si>
    <t>5.9</t>
  </si>
  <si>
    <t>Simulación del estado actual (Tecnomatix)</t>
  </si>
  <si>
    <t>5.9.1 Construir modelo de eventos discretos de la línea actual
5.9.2 Validar el modelo con la línea base</t>
  </si>
  <si>
    <t>Modelo de simulación del estado actual</t>
  </si>
  <si>
    <t>5.3, 5.7, 5.8</t>
  </si>
  <si>
    <t>6</t>
  </si>
  <si>
    <t>Diseño de la solución – Línea de quesos</t>
  </si>
  <si>
    <t>10 entregables</t>
  </si>
  <si>
    <t>6.1</t>
  </si>
  <si>
    <t>Estrategia y alcance de automatización de quesos</t>
  </si>
  <si>
    <t>6.1.1 Definir nivel de automatización por operación (Q-OP-001 a Q-OP-020)
6.1.2 Definir límites de la solución y lo que queda manual
6.1.3 Definir requisitos funcionales y sanitarios</t>
  </si>
  <si>
    <t>Documento de estrategia y alcance de automatización</t>
  </si>
  <si>
    <t>6.2</t>
  </si>
  <si>
    <t>Proceso detallado, recetas y balance de masa</t>
  </si>
  <si>
    <t>6.2.1 Definir recetas Q-REC de Campesino, Mozzarella y Sopó
6.2.2 Calcular balance de masa y rendimiento (incluye suero)
6.2.3 Definir tamaño de lote y secuencias</t>
  </si>
  <si>
    <t>Recetas y balance de masa de la línea de quesos</t>
  </si>
  <si>
    <t>6.3</t>
  </si>
  <si>
    <t>Especificación de equipos y capacidades</t>
  </si>
  <si>
    <t>6.3.1 Especificar equipos Q-EQ-001 a Q-EQ-018
6.3.2 Calcular capacidades y requerimientos de servicios
6.3.3 Elaborar hojas de datos técnicas</t>
  </si>
  <si>
    <t>Hojas de datos y lista de equipos</t>
  </si>
  <si>
    <t>6.4</t>
  </si>
  <si>
    <t>Variables, sensores y actuadores</t>
  </si>
  <si>
    <t>6.4.1 Definir variables Q-VAR y puntos de medición
6.4.2 Seleccionar sensores Q-SEN y actuadores Q-ACT
6.4.3 Definir rangos, precisión y requisitos sanitarios</t>
  </si>
  <si>
    <t>Lista de instrumentos y matriz variable–sensor–actuador</t>
  </si>
  <si>
    <t>6.5</t>
  </si>
  <si>
    <t>Diagramas de instrumentación (P&amp;ID)</t>
  </si>
  <si>
    <t>6.5.1 Elaborar P&amp;ID de la línea
6.5.2 Codificar instrumentos y lazos</t>
  </si>
  <si>
    <t>P&amp;ID de la línea de quesos</t>
  </si>
  <si>
    <t>6.6</t>
  </si>
  <si>
    <t>Memorias de cálculo</t>
  </si>
  <si>
    <t>6.6.1 Calcular cargas eléctricas, calibre de cables y tableros
6.6.2 Calcular servicios (vapor, agua, refrigeración, aire)</t>
  </si>
  <si>
    <t>6.7</t>
  </si>
  <si>
    <t>BOM y APU preliminar</t>
  </si>
  <si>
    <t>6.7.1 Elaborar la lista de materiales (BOM) de equipos, instrumentación, tableros y servicios a partir de las hojas de datos y la matriz de instrumentos
6.7.2 Definir el análisis de precios unitarios (APU) preliminar de suministro, montaje y puesta en marcha
6.7.3 Registrar fuentes de precio (catálogos y cotizaciones de referencia)</t>
  </si>
  <si>
    <t>BOM y APU preliminares de la línea de quesos</t>
  </si>
  <si>
    <t>6.8</t>
  </si>
  <si>
    <t>Presupuesto preliminar</t>
  </si>
  <si>
    <t>6.8.1 Consolidar la BOM y los APU en un presupuesto preliminar por capítulos (CAPEX)
6.8.2 Estimar el OPEX preliminar de la línea
6.8.3 Definir una contingencia preliminar</t>
  </si>
  <si>
    <t>Presupuesto preliminar de la línea de quesos</t>
  </si>
  <si>
    <t>6.9</t>
  </si>
  <si>
    <t>Flujo de caja preliminar</t>
  </si>
  <si>
    <t>6.9.1 Proyectar el flujo de caja preliminar de inversión y operación
6.9.2 Calcular VPN, TIR y período de recuperación preliminares</t>
  </si>
  <si>
    <t>6.10</t>
  </si>
  <si>
    <t>Modelo Canvas de negocio</t>
  </si>
  <si>
    <t>6.10.1 Definir segmentos de clientes y propuesta de valor
6.10.2 Definir canales, relaciones, ingresos y costos
6.10.3 Definir actividades, recursos y aliados clave</t>
  </si>
  <si>
    <t>7</t>
  </si>
  <si>
    <t>Simulación y análisis del sistema productivo</t>
  </si>
  <si>
    <t>7.1</t>
  </si>
  <si>
    <t>Simulación del estado propuesto (Tecnomatix)</t>
  </si>
  <si>
    <t>7.1.1 Modelar la línea automatizada con lotes y recetas
7.1.2 Incluir setup, cambios de producto y paradas
7.1.3 Validar el modelo propuesto contra el modelo del estado actual</t>
  </si>
  <si>
    <t>Modelo de simulación del estado propuesto</t>
  </si>
  <si>
    <t>5.9, 6.2</t>
  </si>
  <si>
    <t>7.2</t>
  </si>
  <si>
    <t>Simulación de cambio de producto y programación de lotes</t>
  </si>
  <si>
    <t>7.2.1 Simular secuencias de lotes de Campesino, Mozzarella y Sopó
7.2.2 Medir tiempos de setup, limpieza y cambio de receta
7.2.3 Comparar reglas de programación (orden y tamaño de lote)</t>
  </si>
  <si>
    <t>Resultados de simulación: secuenciación y cambios de producto</t>
  </si>
  <si>
    <t>7.3</t>
  </si>
  <si>
    <t>Simulación de cuellos de botella y escenarios de demanda</t>
  </si>
  <si>
    <t>7.3.1 Simular escenarios de demanda baja, nominal y alta
7.3.2 Identificar el recurso restrictivo y la utilización de equipos
7.3.3 Evaluar alternativas de capacidad (equipos adicionales, turnos)</t>
  </si>
  <si>
    <t>Análisis de cuellos de botella y capacidad por escenario</t>
  </si>
  <si>
    <t>7.4</t>
  </si>
  <si>
    <t>Simulación de paradas, fallas y mantenimiento</t>
  </si>
  <si>
    <t>7.4.1 Modelar disponibilidad, MTBF y MTTR de los equipos críticos
7.4.2 Simular paradas planeadas y no planeadas
7.4.3 Estimar el efecto sobre el throughput y el OEE</t>
  </si>
  <si>
    <t>Resultados de simulación: disponibilidad y paradas</t>
  </si>
  <si>
    <t>7.5</t>
  </si>
  <si>
    <t>Validación de resultados y análisis de simulación</t>
  </si>
  <si>
    <t>7.5.1 Definir réplicas, longitud de corrida y calentamiento del modelo
7.5.2 Analizar estadísticamente los indicadores (OEE, Throughput, MLT, utilización)
7.5.3 Consolidar conclusiones de las simulaciones</t>
  </si>
  <si>
    <t>Informe de resultados de simulación</t>
  </si>
  <si>
    <t>7.2, 7.3, 7.4</t>
  </si>
  <si>
    <t>8</t>
  </si>
  <si>
    <t>Celda de manufactura robotizada</t>
  </si>
  <si>
    <t>8.1</t>
  </si>
  <si>
    <t>Justificación de la robotización</t>
  </si>
  <si>
    <t>8.1.1 Identificar operaciones candidatas (encajonado, paletizado, desmoldeo)
8.1.2 Justificar técnica y económicamente</t>
  </si>
  <si>
    <t>Documento de justificación de la robotización</t>
  </si>
  <si>
    <t>Celdas de manufactura robotizadas</t>
  </si>
  <si>
    <t>8.2</t>
  </si>
  <si>
    <t>Diseño conceptual y flujo de la celda</t>
  </si>
  <si>
    <t>8.2.1 Definir layout de la celda y flujo de producto
8.2.2 Seleccionar robot, efector final y periféricos
8.2.3 Estimar tiempos de ciclo</t>
  </si>
  <si>
    <t>Diseño conceptual de la celda robotizada</t>
  </si>
  <si>
    <t>8.1, 5.3</t>
  </si>
  <si>
    <t>8.3</t>
  </si>
  <si>
    <t>Análisis de seguridad y riesgos de la celda</t>
  </si>
  <si>
    <t>8.3.1 Identificar peligros y evaluar riesgos
8.3.2 Definir medidas de mitigación y protecciones
8.3.3 Definir paros de emergencia y zonas seguras</t>
  </si>
  <si>
    <t>Análisis de riesgos y plan de mitigación de la celda</t>
  </si>
  <si>
    <t>8.4</t>
  </si>
  <si>
    <t>Simulación funcional en RobotStudio</t>
  </si>
  <si>
    <t>8.4.1 Construir la celda virtual
8.4.2 Programar trayectorias y secuencias
8.4.3 Validar alcances y tiempos de ciclo</t>
  </si>
  <si>
    <t>Simulación de la celda en RobotStudio</t>
  </si>
  <si>
    <t>8.5</t>
  </si>
  <si>
    <t>Especificación del robot y periféricos</t>
  </si>
  <si>
    <t>8.5.1 Elaborar hojas de datos del robot, gripper y cerramiento
8.5.2 Definir requisitos de instalación</t>
  </si>
  <si>
    <t>Especificación técnica de la celda</t>
  </si>
  <si>
    <t>8.3, 8.4</t>
  </si>
  <si>
    <t>9</t>
  </si>
  <si>
    <t>Control industrial, SCADA y gemelo digital</t>
  </si>
  <si>
    <t>6 entregables</t>
  </si>
  <si>
    <t>9.1</t>
  </si>
  <si>
    <t>Control secuencial (Grafcet)</t>
  </si>
  <si>
    <t>9.1.1 Definir Grafcet por operación y por receta
9.1.2 Definir estados, alarmas y enclavamientos</t>
  </si>
  <si>
    <t>Grafcet de la línea de quesos</t>
  </si>
  <si>
    <t>PLC y SCADA</t>
  </si>
  <si>
    <t>9.2</t>
  </si>
  <si>
    <t>Lógica Ladder y programa del PLC</t>
  </si>
  <si>
    <t>9.2.1 Implementar lógica Ladder
9.2.2 Parametrizar recetas y secuencias
9.2.3 Documentar el programa</t>
  </si>
  <si>
    <t>Programa PLC (Ladder) documentado</t>
  </si>
  <si>
    <t>9.3</t>
  </si>
  <si>
    <t>Gemelo digital con sensores y actuadores virtuales</t>
  </si>
  <si>
    <t>9.3.1 Modelar la línea con sensores y actuadores virtuales
9.3.2 Simular lotes y recetas</t>
  </si>
  <si>
    <t>Gemelo digital de la línea de quesos</t>
  </si>
  <si>
    <t>Digital Factory</t>
  </si>
  <si>
    <t>9.1, 3.4</t>
  </si>
  <si>
    <t>9.4</t>
  </si>
  <si>
    <t>Sistema SCADA</t>
  </si>
  <si>
    <t>9.4.1 Diseñar interfaz HMI
9.4.2 Configurar alarmas, tendencias e historización
9.4.3 Configurar gestión de recetas y órdenes</t>
  </si>
  <si>
    <t>SCADA / HMI de la línea</t>
  </si>
  <si>
    <t>9.5</t>
  </si>
  <si>
    <t>Integración OPC / Node-RED</t>
  </si>
  <si>
    <t>9.5.1 Conectar PLC, SCADA y gemelo digital
9.5.2 Probar el intercambio de datos</t>
  </si>
  <si>
    <t>Integración de sistemas probada</t>
  </si>
  <si>
    <t>9.2, 9.3, 9.4</t>
  </si>
  <si>
    <t>9.6</t>
  </si>
  <si>
    <t>Validación funcional (puesta en marcha virtual)</t>
  </si>
  <si>
    <t>9.6.1 Ejecutar pruebas de lotes por cada referencia
9.6.2 Validar celda, control y supervisión
9.6.3 Registrar resultados y ajustes</t>
  </si>
  <si>
    <t>Informe de validación funcional</t>
  </si>
  <si>
    <t>9.5, 8.4</t>
  </si>
  <si>
    <t>10</t>
  </si>
  <si>
    <t>Evaluación técnico-económica y análisis del cambio</t>
  </si>
  <si>
    <t>7 entregables</t>
  </si>
  <si>
    <t>10.1</t>
  </si>
  <si>
    <t>VSM del estado futuro</t>
  </si>
  <si>
    <t>10.1.1 Rediseñar el flujo de valor
10.1.2 Dibujar el mapa de valor futuro</t>
  </si>
  <si>
    <t>10.2</t>
  </si>
  <si>
    <t>Comparación de indicadores antes vs después</t>
  </si>
  <si>
    <t>10.2.1 Comparar OEE, Takt Time, Throughput, MLT y utilización
10.2.2 Cuantificar mejoras
10.2.3 Repetir los diagramas (espagueti, análisis de proceso) con la solución propuesta
10.2.4 Repetir el análisis del módulo 2 (VSM, tiempos, capacidades e indicadores) con la solución propuesta para evidenciar el cambio frente a la línea base</t>
  </si>
  <si>
    <t>Informe comparativo: línea base vs. solución propuesta</t>
  </si>
  <si>
    <t>10.1, 7.3, 5.8</t>
  </si>
  <si>
    <t>10.3</t>
  </si>
  <si>
    <t>Estimación de costos de la automatización</t>
  </si>
  <si>
    <t>10.3.1 Cotizar equipos, instrumentación, PLC, SCADA y robot
10.3.2 Estimar instalación y comisionamiento
10.3.3 Estimar OPEX</t>
  </si>
  <si>
    <t>Estimación de costos y cotizaciones</t>
  </si>
  <si>
    <t>6.7, 8.2</t>
  </si>
  <si>
    <t>10.4</t>
  </si>
  <si>
    <t>Presupuesto del proyecto</t>
  </si>
  <si>
    <t>10.4.1 Consolidar presupuesto por fase y entregable
10.4.2 Definir contingencias</t>
  </si>
  <si>
    <t>10.3, 6.8</t>
  </si>
  <si>
    <t>10.5</t>
  </si>
  <si>
    <t>Flujo de caja e indicadores financieros</t>
  </si>
  <si>
    <t>10.5.1 Construir flujo de caja
10.5.2 Calcular VPN, TIR y período de recuperación
10.5.3 Hacer análisis de sensibilidad</t>
  </si>
  <si>
    <t>10.4, 10.2, 6.9</t>
  </si>
  <si>
    <t>10.6</t>
  </si>
  <si>
    <t>Propuesta de valor y oferta comercial</t>
  </si>
  <si>
    <t>10.6.1 Redactar propuesta técnica y económica
10.6.2 Definir alcance, plazos y condiciones de la oferta</t>
  </si>
  <si>
    <t>10.5, 9.6</t>
  </si>
  <si>
    <t>10.7</t>
  </si>
  <si>
    <t>Presentación y decisión de inversión del cliente</t>
  </si>
  <si>
    <t>10.7.1 Presentar la solución al cliente
10.7.2 Atender observaciones y obtener aprobación</t>
  </si>
  <si>
    <t>Acta de aprobación de la oferta por el cliente</t>
  </si>
  <si>
    <t>11</t>
  </si>
  <si>
    <t>Adquisiciones, fabricación e instalación de equipos</t>
  </si>
  <si>
    <t>12 entregables</t>
  </si>
  <si>
    <t>11.1</t>
  </si>
  <si>
    <t>Plan de adquisiciones y especificaciones técnicas</t>
  </si>
  <si>
    <t>11.1.1 Definir paquetes de compra y proveedores potenciales
11.1.2 Elaborar solicitudes de cotización (RFQ) con especificaciones</t>
  </si>
  <si>
    <t>Plan de adquisiciones y RFQ</t>
  </si>
  <si>
    <t>Ejecución en planta (fuera de la materia)</t>
  </si>
  <si>
    <t>11.2</t>
  </si>
  <si>
    <t>Plan de continuidad de producción y ventanas de parada</t>
  </si>
  <si>
    <t>11.2.1 Definir ventanas de parada de la línea de quesos
11.2.2 Mantener la producción de yogures y UHT
11.2.3 Planear producción temporal y manejo de inventarios</t>
  </si>
  <si>
    <t>Plan de continuidad de producción</t>
  </si>
  <si>
    <t>11.3</t>
  </si>
  <si>
    <t>Cotización, evaluación y orden de compra de equipos</t>
  </si>
  <si>
    <t>11.3.1 Evaluar ofertas técnica y económicamente
11.3.2 Negociar y emitir órdenes de compra
11.3.3 Definir cronograma de entrega con proveedores</t>
  </si>
  <si>
    <t>Órdenes de compra y cronograma de entregas</t>
  </si>
  <si>
    <t>11.1 (FC-2 d)</t>
  </si>
  <si>
    <t>11.4</t>
  </si>
  <si>
    <t>Fabricación y entrega de equipos</t>
  </si>
  <si>
    <t>11.4.1 Seguimiento de fabricación de equipos de lead time largo
11.4.2 Seguimiento a robot, PLC, SCADA y tableros
11.4.3 Gestionar cambios y desviaciones</t>
  </si>
  <si>
    <t>Informes de avance de fabricación de equipos</t>
  </si>
  <si>
    <t>11.5</t>
  </si>
  <si>
    <t>Pruebas de aceptación en fábrica (FAT)</t>
  </si>
  <si>
    <t>11.5.1 Ejecutar FAT de equipos críticos con el proveedor
11.5.2 Registrar pendientes y liberar envío</t>
  </si>
  <si>
    <t>Actas de FAT</t>
  </si>
  <si>
    <t>11.4 (FC-3 d)</t>
  </si>
  <si>
    <t>11.6</t>
  </si>
  <si>
    <t>Obras civiles y servicios industriales</t>
  </si>
  <si>
    <t>11.6.1 Adecuar pisos, drenajes y cámara de maduración
11.6.2 Preparar vapor, agua, refrigeración, aire y energía</t>
  </si>
  <si>
    <t>Obras civiles y servicios industriales listos</t>
  </si>
  <si>
    <t>11.7</t>
  </si>
  <si>
    <t>Logística e ingreso de equipos a planta</t>
  </si>
  <si>
    <t>11.7.1 Transportar e inspeccionar equipos
11.7.2 Almacenar y rotular equipos en sitio</t>
  </si>
  <si>
    <t>Acta de recepción de equipos</t>
  </si>
  <si>
    <t>11.5, 11.6</t>
  </si>
  <si>
    <t>11.8</t>
  </si>
  <si>
    <t>Montaje mecánico e instalación de equipos</t>
  </si>
  <si>
    <t>11.8.1 Posicionar y anclar tanques, tina, prensa, estirador, cámara y empaque
11.8.2 Conectar tuberías y servicios
11.8.3 Instalar celda robotizada y protecciones</t>
  </si>
  <si>
    <t>Equipos montados (acta de montaje)</t>
  </si>
  <si>
    <t>11.7, 11.2</t>
  </si>
  <si>
    <t>11.9</t>
  </si>
  <si>
    <t>Instalación eléctrica, instrumentación y tableros</t>
  </si>
  <si>
    <t>11.9.1 Instalar tableros, cableado y bandejas
11.9.2 Instalar sensores y actuadores
11.9.3 Verificar lazos (loop check)</t>
  </si>
  <si>
    <t>Instalación eléctrica y de instrumentación completa</t>
  </si>
  <si>
    <t>11.8 (CC+3 d)</t>
  </si>
  <si>
    <t>11.10</t>
  </si>
  <si>
    <t>Instalación de redes, PLC, SCADA y servidores</t>
  </si>
  <si>
    <t>11.10.1 Instalar redes industriales y servidores
11.10.2 Cargar programas de PLC y SCADA
11.10.3 Configurar integración con MES / ERP</t>
  </si>
  <si>
    <t>Sistema de control y supervisión instalado</t>
  </si>
  <si>
    <t>11.9 (FC-3 d)</t>
  </si>
  <si>
    <t>11.11</t>
  </si>
  <si>
    <t>Comisionamiento en seco y con producto</t>
  </si>
  <si>
    <t>11.11.1 Pruebas en vacío y con agua
11.11.2 Pruebas con leche y lotes de prueba
11.11.3 Ajustar recetas y parámetros</t>
  </si>
  <si>
    <t>Informe de comisionamiento</t>
  </si>
  <si>
    <t>11.9, 11.10</t>
  </si>
  <si>
    <t>11.12</t>
  </si>
  <si>
    <t>Pruebas de aceptación en sitio (SAT) y validación sanitaria</t>
  </si>
  <si>
    <t>11.12.1 Ejecutar SAT con el cliente
11.12.2 Validar limpieza (CIP) y requisitos sanitarios (BPM / HACCP)
11.12.3 Firmar acta de aceptación</t>
  </si>
  <si>
    <t>Acta de SAT y validación sanitaria</t>
  </si>
  <si>
    <t>12</t>
  </si>
  <si>
    <t>Puesta en marcha, producción y cierre</t>
  </si>
  <si>
    <t>12.1</t>
  </si>
  <si>
    <t>Capacitación de operación y mantenimiento</t>
  </si>
  <si>
    <t>12.1.1 Capacitar operadores y personal de mantenimiento
12.1.2 Entregar manuales y procedimientos (SOP)</t>
  </si>
  <si>
    <t>Plan de capacitación, manuales y SOP</t>
  </si>
  <si>
    <t>12.2</t>
  </si>
  <si>
    <t>Arranque y lotes piloto por referencia</t>
  </si>
  <si>
    <t>12.2.1 Producir lotes piloto de Campesino, Mozzarella y Sopó
12.2.2 Verificar calidad y trazabilidad por batch
12.2.3 Poner el Sopó en maduración</t>
  </si>
  <si>
    <t>Reporte de arranque y lotes piloto</t>
  </si>
  <si>
    <t>11.12, 12.1</t>
  </si>
  <si>
    <t>12.3</t>
  </si>
  <si>
    <t>Producción asistida e incremento gradual (ramp-up)</t>
  </si>
  <si>
    <t>12.3.1 Aumentar la producción por etapas
12.3.2 Producir con soporte técnico en planta
12.3.3 Seguir el primer lote madurado de Sopó</t>
  </si>
  <si>
    <t>Reporte de producción asistida</t>
  </si>
  <si>
    <t>12.4</t>
  </si>
  <si>
    <t>Verificación de indicadores post-implementación</t>
  </si>
  <si>
    <t>12.4.1 Medir OEE, rendimiento y calidad
12.4.2 Comparar con la línea base y la simulación</t>
  </si>
  <si>
    <t>Informe de indicadores post-implementación</t>
  </si>
  <si>
    <t>12.5</t>
  </si>
  <si>
    <t>Documentación as-built y entrega técnica</t>
  </si>
  <si>
    <t>12.5.1 Actualizar planos, P&amp;ID, programas y SCADA
12.5.2 Entregar el dossier técnico al cliente</t>
  </si>
  <si>
    <t>Dossier as-built y entrega técnica</t>
  </si>
  <si>
    <t>12.6</t>
  </si>
  <si>
    <t>Soporte post-arranque y plan de mantenimiento</t>
  </si>
  <si>
    <t>12.6.1 Atender incidentes en el período de soporte
12.6.2 Definir mantenimiento preventivo y repuestos críticos</t>
  </si>
  <si>
    <t>Informe de soporte y plan de mantenimiento</t>
  </si>
  <si>
    <t>12.7</t>
  </si>
  <si>
    <t>Cierre del proyecto</t>
  </si>
  <si>
    <t>12.7.1 Elaborar informe final y lecciones aprendidas
12.7.2 Publicar repositorio, sitio web y video de presentación
12.7.3 Obtener aceptación final del cliente</t>
  </si>
  <si>
    <t>Informe final, sitio web, video y acta de cierre</t>
  </si>
  <si>
    <t>12.4, 12.5, 12.6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</si>
</sst>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</font>
    <font>
      <i/>
      <sz val="10"/>
      <color rgb="FF667085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1F3A5F"/>
      <name val="Calibri"/>
      <family val="2"/>
    </font>
    <font>
      <b/>
      <sz val="10"/>
      <color rgb="FF2E75B6"/>
      <name val="Calibri"/>
      <family val="2"/>
    </font>
    <font>
      <b/>
      <sz val="10"/>
      <color rgb="FF00796B"/>
      <name val="Calibri"/>
      <family val="2"/>
    </font>
    <font>
      <b/>
      <sz val="10"/>
      <color rgb="FF7B1FA2"/>
      <name val="Calibri"/>
      <family val="2"/>
    </font>
    <font>
      <b/>
      <sz val="10"/>
      <color rgb="FFE65100"/>
      <name val="Calibri"/>
      <family val="2"/>
    </font>
    <font>
      <b/>
      <sz val="10"/>
      <color rgb="FFAD1457"/>
      <name val="Calibri"/>
      <family val="2"/>
    </font>
    <font>
      <b/>
      <sz val="10"/>
      <color rgb="FF5D4037"/>
      <name val="Calibri"/>
      <family val="2"/>
    </font>
    <font>
      <b/>
      <sz val="10"/>
      <color rgb="FF0277BD"/>
      <name val="Calibri"/>
      <family val="2"/>
    </font>
    <font>
      <b/>
      <sz val="10"/>
      <color rgb="FF558B2F"/>
      <name val="Calibri"/>
      <family val="2"/>
    </font>
    <font>
      <b/>
      <sz val="10"/>
      <color rgb="FFC62828"/>
      <name val="Calibri"/>
      <family val="2"/>
    </font>
    <font>
      <b/>
      <sz val="10"/>
      <color rgb="FF37474F"/>
      <name val="Calibri"/>
      <family val="2"/>
    </font>
    <font>
      <b/>
      <sz val="10"/>
      <color rgb="FF00838F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BEF"/>
      </patternFill>
    </fill>
    <fill>
      <patternFill patternType="solid">
        <fgColor rgb="FF2E75B6"/>
      </patternFill>
    </fill>
    <fill>
      <patternFill patternType="solid">
        <fgColor rgb="FFEAF1F7"/>
      </patternFill>
    </fill>
    <fill>
      <patternFill patternType="solid">
        <fgColor rgb="FF00796B"/>
      </patternFill>
    </fill>
    <fill>
      <patternFill patternType="solid">
        <fgColor rgb="FFE5F1F0"/>
      </patternFill>
    </fill>
    <fill>
      <patternFill patternType="solid">
        <fgColor rgb="FF7B1FA2"/>
      </patternFill>
    </fill>
    <fill>
      <patternFill patternType="solid">
        <fgColor rgb="FFF1E8F5"/>
      </patternFill>
    </fill>
    <fill>
      <patternFill patternType="solid">
        <fgColor rgb="FFE65100"/>
      </patternFill>
    </fill>
    <fill>
      <patternFill patternType="solid">
        <fgColor rgb="FFFCEDE5"/>
      </patternFill>
    </fill>
    <fill>
      <patternFill patternType="solid">
        <fgColor rgb="FFAD1457"/>
      </patternFill>
    </fill>
    <fill>
      <patternFill patternType="solid">
        <fgColor rgb="FFF6E7EE"/>
      </patternFill>
    </fill>
    <fill>
      <patternFill patternType="solid">
        <fgColor rgb="FF5D4037"/>
      </patternFill>
    </fill>
    <fill>
      <patternFill patternType="solid">
        <fgColor rgb="FFEEEBEB"/>
      </patternFill>
    </fill>
    <fill>
      <patternFill patternType="solid">
        <fgColor rgb="FF0277BD"/>
      </patternFill>
    </fill>
    <fill>
      <patternFill patternType="solid">
        <fgColor rgb="FFE5F1F8"/>
      </patternFill>
    </fill>
    <fill>
      <patternFill patternType="solid">
        <fgColor rgb="FF558B2F"/>
      </patternFill>
    </fill>
    <fill>
      <patternFill patternType="solid">
        <fgColor rgb="FFEEF3EA"/>
      </patternFill>
    </fill>
    <fill>
      <patternFill patternType="solid">
        <fgColor rgb="FFC62828"/>
      </patternFill>
    </fill>
    <fill>
      <patternFill patternType="solid">
        <fgColor rgb="FFF9E9E9"/>
      </patternFill>
    </fill>
    <fill>
      <patternFill patternType="solid">
        <fgColor rgb="FF37474F"/>
      </patternFill>
    </fill>
    <fill>
      <patternFill patternType="solid">
        <fgColor rgb="FFEBECED"/>
      </patternFill>
    </fill>
    <fill>
      <patternFill patternType="solid">
        <fgColor rgb="FF00838F"/>
      </patternFill>
    </fill>
    <fill>
      <patternFill patternType="solid">
        <fgColor rgb="FFE5F2F3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4" fillId="4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vertical="center" wrapText="1"/>
    </xf>
    <xf numFmtId="164" fontId="4" fillId="8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vertical="center" wrapText="1"/>
    </xf>
    <xf numFmtId="164" fontId="4" fillId="10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vertical="center" wrapText="1"/>
    </xf>
    <xf numFmtId="164" fontId="4" fillId="12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vertical="center" wrapText="1"/>
    </xf>
    <xf numFmtId="164" fontId="4" fillId="14" borderId="1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vertical="center" wrapText="1"/>
    </xf>
    <xf numFmtId="164" fontId="4" fillId="16" borderId="1" xfId="0" applyNumberFormat="1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top" wrapText="1"/>
    </xf>
    <xf numFmtId="0" fontId="4" fillId="18" borderId="1" xfId="0" applyFont="1" applyFill="1" applyBorder="1" applyAlignment="1">
      <alignment vertical="center" wrapText="1"/>
    </xf>
    <xf numFmtId="164" fontId="4" fillId="18" borderId="1" xfId="0" applyNumberFormat="1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top" wrapText="1"/>
    </xf>
    <xf numFmtId="0" fontId="4" fillId="20" borderId="1" xfId="0" applyFont="1" applyFill="1" applyBorder="1" applyAlignment="1">
      <alignment vertical="center" wrapText="1"/>
    </xf>
    <xf numFmtId="164" fontId="4" fillId="20" borderId="1" xfId="0" applyNumberFormat="1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top" wrapText="1"/>
    </xf>
    <xf numFmtId="0" fontId="4" fillId="22" borderId="1" xfId="0" applyFont="1" applyFill="1" applyBorder="1" applyAlignment="1">
      <alignment vertical="center" wrapText="1"/>
    </xf>
    <xf numFmtId="164" fontId="4" fillId="22" borderId="1" xfId="0" applyNumberFormat="1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top" wrapText="1"/>
    </xf>
    <xf numFmtId="0" fontId="4" fillId="24" borderId="1" xfId="0" applyFont="1" applyFill="1" applyBorder="1" applyAlignment="1">
      <alignment vertical="center" wrapText="1"/>
    </xf>
    <xf numFmtId="164" fontId="4" fillId="24" borderId="1" xfId="0" applyNumberFormat="1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6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38" customWidth="1"/>
    <col min="3" max="3" width="78" customWidth="1"/>
    <col min="4" max="4" width="40" customWidth="1"/>
    <col min="5" max="5" width="26" customWidth="1"/>
    <col min="6" max="8" width="12" customWidth="1"/>
    <col min="9" max="9" width="20" customWidth="1"/>
  </cols>
  <sheetData>
    <row r="1" spans="1:9" ht="26" customHeight="1" x14ac:dyDescent="0.25">
      <c r="A1" s="1" t="s">
        <v>0</v>
      </c>
    </row>
    <row r="2" spans="1:9" x14ac:dyDescent="0.2">
      <c r="A2" s="2" t="s">
        <v>1</v>
      </c>
    </row>
    <row r="4" spans="1:9" ht="32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2" customHeight="1" x14ac:dyDescent="0.2">
      <c r="A5" s="4" t="s">
        <v>11</v>
      </c>
      <c r="B5" s="4" t="s">
        <v>12</v>
      </c>
      <c r="C5" s="4" t="s">
        <v>13</v>
      </c>
      <c r="D5" s="4"/>
      <c r="E5" s="4"/>
      <c r="F5" s="4"/>
      <c r="G5" s="5">
        <f>MIN(G6:G6)</f>
        <v>46237</v>
      </c>
      <c r="H5" s="5">
        <f>MAX(H6:H6)</f>
        <v>46252</v>
      </c>
      <c r="I5" s="4"/>
    </row>
    <row r="6" spans="1:9" ht="174" customHeight="1" x14ac:dyDescent="0.2">
      <c r="A6" s="6" t="s">
        <v>14</v>
      </c>
      <c r="B6" s="7" t="s">
        <v>15</v>
      </c>
      <c r="C6" s="8" t="s">
        <v>16</v>
      </c>
      <c r="D6" s="8" t="s">
        <v>17</v>
      </c>
      <c r="E6" s="9" t="s">
        <v>18</v>
      </c>
      <c r="F6" s="9">
        <v>10</v>
      </c>
      <c r="G6" s="10">
        <v>46237</v>
      </c>
      <c r="H6" s="10">
        <v>46252</v>
      </c>
      <c r="I6" s="9" t="s">
        <v>19</v>
      </c>
    </row>
    <row r="7" spans="1:9" ht="22" customHeight="1" x14ac:dyDescent="0.2">
      <c r="A7" s="11" t="s">
        <v>20</v>
      </c>
      <c r="B7" s="11" t="s">
        <v>21</v>
      </c>
      <c r="C7" s="11" t="s">
        <v>13</v>
      </c>
      <c r="D7" s="11"/>
      <c r="E7" s="11"/>
      <c r="F7" s="11"/>
      <c r="G7" s="12">
        <f>MIN(G8:G8)</f>
        <v>46253</v>
      </c>
      <c r="H7" s="12">
        <f>MAX(H8:H8)</f>
        <v>46259</v>
      </c>
      <c r="I7" s="11"/>
    </row>
    <row r="8" spans="1:9" ht="48" customHeight="1" x14ac:dyDescent="0.2">
      <c r="A8" s="13" t="s">
        <v>22</v>
      </c>
      <c r="B8" s="7" t="s">
        <v>23</v>
      </c>
      <c r="C8" s="8" t="s">
        <v>24</v>
      </c>
      <c r="D8" s="8" t="s">
        <v>25</v>
      </c>
      <c r="E8" s="9" t="s">
        <v>26</v>
      </c>
      <c r="F8" s="9">
        <v>5</v>
      </c>
      <c r="G8" s="10">
        <v>46253</v>
      </c>
      <c r="H8" s="10">
        <v>46259</v>
      </c>
      <c r="I8" s="9" t="s">
        <v>14</v>
      </c>
    </row>
    <row r="9" spans="1:9" ht="22" customHeight="1" x14ac:dyDescent="0.2">
      <c r="A9" s="14" t="s">
        <v>27</v>
      </c>
      <c r="B9" s="14" t="s">
        <v>28</v>
      </c>
      <c r="C9" s="14" t="s">
        <v>29</v>
      </c>
      <c r="D9" s="14"/>
      <c r="E9" s="14"/>
      <c r="F9" s="14"/>
      <c r="G9" s="15">
        <f>MIN(G10:G14)</f>
        <v>46267</v>
      </c>
      <c r="H9" s="15">
        <f>MAX(H10:H14)</f>
        <v>46287</v>
      </c>
      <c r="I9" s="14"/>
    </row>
    <row r="10" spans="1:9" ht="34" customHeight="1" x14ac:dyDescent="0.2">
      <c r="A10" s="16" t="s">
        <v>30</v>
      </c>
      <c r="B10" s="7" t="s">
        <v>31</v>
      </c>
      <c r="C10" s="8" t="s">
        <v>32</v>
      </c>
      <c r="D10" s="8" t="s">
        <v>33</v>
      </c>
      <c r="E10" s="9" t="s">
        <v>18</v>
      </c>
      <c r="F10" s="9">
        <v>5</v>
      </c>
      <c r="G10" s="10">
        <v>46267</v>
      </c>
      <c r="H10" s="10">
        <v>46273</v>
      </c>
      <c r="I10" s="9" t="s">
        <v>34</v>
      </c>
    </row>
    <row r="11" spans="1:9" ht="48" customHeight="1" x14ac:dyDescent="0.2">
      <c r="A11" s="16" t="s">
        <v>35</v>
      </c>
      <c r="B11" s="7" t="s">
        <v>36</v>
      </c>
      <c r="C11" s="8" t="s">
        <v>37</v>
      </c>
      <c r="D11" s="8" t="s">
        <v>38</v>
      </c>
      <c r="E11" s="9" t="s">
        <v>18</v>
      </c>
      <c r="F11" s="9">
        <v>10</v>
      </c>
      <c r="G11" s="10">
        <v>46274</v>
      </c>
      <c r="H11" s="10">
        <v>46287</v>
      </c>
      <c r="I11" s="9" t="s">
        <v>30</v>
      </c>
    </row>
    <row r="12" spans="1:9" ht="48" customHeight="1" x14ac:dyDescent="0.2">
      <c r="A12" s="16" t="s">
        <v>39</v>
      </c>
      <c r="B12" s="7" t="s">
        <v>40</v>
      </c>
      <c r="C12" s="8" t="s">
        <v>41</v>
      </c>
      <c r="D12" s="8" t="s">
        <v>42</v>
      </c>
      <c r="E12" s="9" t="s">
        <v>18</v>
      </c>
      <c r="F12" s="9">
        <v>5</v>
      </c>
      <c r="G12" s="10">
        <v>46267</v>
      </c>
      <c r="H12" s="10">
        <v>46273</v>
      </c>
      <c r="I12" s="9" t="s">
        <v>34</v>
      </c>
    </row>
    <row r="13" spans="1:9" ht="48" customHeight="1" x14ac:dyDescent="0.2">
      <c r="A13" s="16" t="s">
        <v>43</v>
      </c>
      <c r="B13" s="7" t="s">
        <v>44</v>
      </c>
      <c r="C13" s="8" t="s">
        <v>45</v>
      </c>
      <c r="D13" s="8" t="s">
        <v>46</v>
      </c>
      <c r="E13" s="9" t="s">
        <v>18</v>
      </c>
      <c r="F13" s="9">
        <v>10</v>
      </c>
      <c r="G13" s="10">
        <v>46274</v>
      </c>
      <c r="H13" s="10">
        <v>46287</v>
      </c>
      <c r="I13" s="9" t="s">
        <v>47</v>
      </c>
    </row>
    <row r="14" spans="1:9" ht="48" customHeight="1" x14ac:dyDescent="0.2">
      <c r="A14" s="16" t="s">
        <v>48</v>
      </c>
      <c r="B14" s="7" t="s">
        <v>49</v>
      </c>
      <c r="C14" s="8" t="s">
        <v>50</v>
      </c>
      <c r="D14" s="8" t="s">
        <v>51</v>
      </c>
      <c r="E14" s="9" t="s">
        <v>18</v>
      </c>
      <c r="F14" s="9">
        <v>5</v>
      </c>
      <c r="G14" s="10">
        <v>46274</v>
      </c>
      <c r="H14" s="10">
        <v>46280</v>
      </c>
      <c r="I14" s="9" t="s">
        <v>39</v>
      </c>
    </row>
    <row r="15" spans="1:9" ht="22" customHeight="1" x14ac:dyDescent="0.2">
      <c r="A15" s="17" t="s">
        <v>52</v>
      </c>
      <c r="B15" s="17" t="s">
        <v>53</v>
      </c>
      <c r="C15" s="17" t="s">
        <v>54</v>
      </c>
      <c r="D15" s="17"/>
      <c r="E15" s="17"/>
      <c r="F15" s="17"/>
      <c r="G15" s="18">
        <f>MIN(G16:G17)</f>
        <v>46237</v>
      </c>
      <c r="H15" s="18">
        <f>MAX(H16:H17)</f>
        <v>46252</v>
      </c>
      <c r="I15" s="17"/>
    </row>
    <row r="16" spans="1:9" ht="48" customHeight="1" x14ac:dyDescent="0.2">
      <c r="A16" s="19" t="s">
        <v>55</v>
      </c>
      <c r="B16" s="7" t="s">
        <v>56</v>
      </c>
      <c r="C16" s="8" t="s">
        <v>57</v>
      </c>
      <c r="D16" s="8" t="s">
        <v>58</v>
      </c>
      <c r="E16" s="9" t="s">
        <v>59</v>
      </c>
      <c r="F16" s="9">
        <v>5</v>
      </c>
      <c r="G16" s="10">
        <v>46237</v>
      </c>
      <c r="H16" s="10">
        <v>46244</v>
      </c>
      <c r="I16" s="9" t="s">
        <v>19</v>
      </c>
    </row>
    <row r="17" spans="1:9" ht="62" customHeight="1" x14ac:dyDescent="0.2">
      <c r="A17" s="19" t="s">
        <v>60</v>
      </c>
      <c r="B17" s="7" t="s">
        <v>61</v>
      </c>
      <c r="C17" s="8" t="s">
        <v>62</v>
      </c>
      <c r="D17" s="8" t="s">
        <v>63</v>
      </c>
      <c r="E17" s="9" t="s">
        <v>59</v>
      </c>
      <c r="F17" s="9">
        <v>5</v>
      </c>
      <c r="G17" s="10">
        <v>46245</v>
      </c>
      <c r="H17" s="10">
        <v>46252</v>
      </c>
      <c r="I17" s="9" t="s">
        <v>55</v>
      </c>
    </row>
    <row r="18" spans="1:9" ht="22" customHeight="1" x14ac:dyDescent="0.2">
      <c r="A18" s="20" t="s">
        <v>64</v>
      </c>
      <c r="B18" s="20" t="s">
        <v>65</v>
      </c>
      <c r="C18" s="20" t="s">
        <v>66</v>
      </c>
      <c r="D18" s="20"/>
      <c r="E18" s="20"/>
      <c r="F18" s="20"/>
      <c r="G18" s="21">
        <f>MIN(G19:G27)</f>
        <v>46253</v>
      </c>
      <c r="H18" s="21">
        <f>MAX(H19:H27)</f>
        <v>46301</v>
      </c>
      <c r="I18" s="20"/>
    </row>
    <row r="19" spans="1:9" ht="48" customHeight="1" x14ac:dyDescent="0.2">
      <c r="A19" s="22" t="s">
        <v>34</v>
      </c>
      <c r="B19" s="7" t="s">
        <v>67</v>
      </c>
      <c r="C19" s="8" t="s">
        <v>68</v>
      </c>
      <c r="D19" s="8" t="s">
        <v>67</v>
      </c>
      <c r="E19" s="9" t="s">
        <v>26</v>
      </c>
      <c r="F19" s="9">
        <v>10</v>
      </c>
      <c r="G19" s="10">
        <v>46253</v>
      </c>
      <c r="H19" s="10">
        <v>46266</v>
      </c>
      <c r="I19" s="9" t="s">
        <v>14</v>
      </c>
    </row>
    <row r="20" spans="1:9" ht="48" customHeight="1" x14ac:dyDescent="0.2">
      <c r="A20" s="22" t="s">
        <v>69</v>
      </c>
      <c r="B20" s="7" t="s">
        <v>70</v>
      </c>
      <c r="C20" s="8" t="s">
        <v>71</v>
      </c>
      <c r="D20" s="8" t="s">
        <v>72</v>
      </c>
      <c r="E20" s="9" t="s">
        <v>26</v>
      </c>
      <c r="F20" s="9">
        <v>5</v>
      </c>
      <c r="G20" s="10">
        <v>46267</v>
      </c>
      <c r="H20" s="10">
        <v>46273</v>
      </c>
      <c r="I20" s="9" t="s">
        <v>34</v>
      </c>
    </row>
    <row r="21" spans="1:9" ht="48" customHeight="1" x14ac:dyDescent="0.2">
      <c r="A21" s="22" t="s">
        <v>73</v>
      </c>
      <c r="B21" s="7" t="s">
        <v>74</v>
      </c>
      <c r="C21" s="8" t="s">
        <v>75</v>
      </c>
      <c r="D21" s="8" t="s">
        <v>76</v>
      </c>
      <c r="E21" s="9" t="s">
        <v>26</v>
      </c>
      <c r="F21" s="9">
        <v>10</v>
      </c>
      <c r="G21" s="10">
        <v>46253</v>
      </c>
      <c r="H21" s="10">
        <v>46266</v>
      </c>
      <c r="I21" s="9" t="s">
        <v>14</v>
      </c>
    </row>
    <row r="22" spans="1:9" ht="48" customHeight="1" x14ac:dyDescent="0.2">
      <c r="A22" s="22" t="s">
        <v>77</v>
      </c>
      <c r="B22" s="7" t="s">
        <v>78</v>
      </c>
      <c r="C22" s="8" t="s">
        <v>79</v>
      </c>
      <c r="D22" s="8" t="s">
        <v>80</v>
      </c>
      <c r="E22" s="9" t="s">
        <v>26</v>
      </c>
      <c r="F22" s="9">
        <v>5</v>
      </c>
      <c r="G22" s="10">
        <v>46267</v>
      </c>
      <c r="H22" s="10">
        <v>46273</v>
      </c>
      <c r="I22" s="9" t="s">
        <v>81</v>
      </c>
    </row>
    <row r="23" spans="1:9" ht="48" customHeight="1" x14ac:dyDescent="0.2">
      <c r="A23" s="22" t="s">
        <v>82</v>
      </c>
      <c r="B23" s="7" t="s">
        <v>83</v>
      </c>
      <c r="C23" s="8" t="s">
        <v>84</v>
      </c>
      <c r="D23" s="8" t="s">
        <v>85</v>
      </c>
      <c r="E23" s="9" t="s">
        <v>26</v>
      </c>
      <c r="F23" s="9">
        <v>10</v>
      </c>
      <c r="G23" s="10">
        <v>46267</v>
      </c>
      <c r="H23" s="10">
        <v>46280</v>
      </c>
      <c r="I23" s="9" t="s">
        <v>34</v>
      </c>
    </row>
    <row r="24" spans="1:9" ht="48" customHeight="1" x14ac:dyDescent="0.2">
      <c r="A24" s="22" t="s">
        <v>86</v>
      </c>
      <c r="B24" s="7" t="s">
        <v>87</v>
      </c>
      <c r="C24" s="8" t="s">
        <v>88</v>
      </c>
      <c r="D24" s="8" t="s">
        <v>89</v>
      </c>
      <c r="E24" s="9" t="s">
        <v>26</v>
      </c>
      <c r="F24" s="9">
        <v>5</v>
      </c>
      <c r="G24" s="10">
        <v>46267</v>
      </c>
      <c r="H24" s="10">
        <v>46273</v>
      </c>
      <c r="I24" s="9" t="s">
        <v>34</v>
      </c>
    </row>
    <row r="25" spans="1:9" ht="48" customHeight="1" x14ac:dyDescent="0.2">
      <c r="A25" s="22" t="s">
        <v>90</v>
      </c>
      <c r="B25" s="7" t="s">
        <v>91</v>
      </c>
      <c r="C25" s="8" t="s">
        <v>92</v>
      </c>
      <c r="D25" s="8" t="s">
        <v>93</v>
      </c>
      <c r="E25" s="9" t="s">
        <v>26</v>
      </c>
      <c r="F25" s="9">
        <v>10</v>
      </c>
      <c r="G25" s="10">
        <v>46267</v>
      </c>
      <c r="H25" s="10">
        <v>46280</v>
      </c>
      <c r="I25" s="9" t="s">
        <v>34</v>
      </c>
    </row>
    <row r="26" spans="1:9" ht="48" customHeight="1" x14ac:dyDescent="0.2">
      <c r="A26" s="22" t="s">
        <v>94</v>
      </c>
      <c r="B26" s="7" t="s">
        <v>95</v>
      </c>
      <c r="C26" s="8" t="s">
        <v>96</v>
      </c>
      <c r="D26" s="8" t="s">
        <v>97</v>
      </c>
      <c r="E26" s="9" t="s">
        <v>26</v>
      </c>
      <c r="F26" s="9">
        <v>5</v>
      </c>
      <c r="G26" s="10">
        <v>46281</v>
      </c>
      <c r="H26" s="10">
        <v>46287</v>
      </c>
      <c r="I26" s="9" t="s">
        <v>98</v>
      </c>
    </row>
    <row r="27" spans="1:9" ht="34" customHeight="1" x14ac:dyDescent="0.2">
      <c r="A27" s="22" t="s">
        <v>99</v>
      </c>
      <c r="B27" s="7" t="s">
        <v>100</v>
      </c>
      <c r="C27" s="8" t="s">
        <v>101</v>
      </c>
      <c r="D27" s="8" t="s">
        <v>102</v>
      </c>
      <c r="E27" s="9" t="s">
        <v>26</v>
      </c>
      <c r="F27" s="9">
        <v>10</v>
      </c>
      <c r="G27" s="10">
        <v>46288</v>
      </c>
      <c r="H27" s="10">
        <v>46301</v>
      </c>
      <c r="I27" s="9" t="s">
        <v>103</v>
      </c>
    </row>
    <row r="28" spans="1:9" ht="22" customHeight="1" x14ac:dyDescent="0.2">
      <c r="A28" s="23" t="s">
        <v>104</v>
      </c>
      <c r="B28" s="23" t="s">
        <v>105</v>
      </c>
      <c r="C28" s="23" t="s">
        <v>106</v>
      </c>
      <c r="D28" s="23"/>
      <c r="E28" s="23"/>
      <c r="F28" s="23"/>
      <c r="G28" s="24">
        <f>MIN(G29:G38)</f>
        <v>46308</v>
      </c>
      <c r="H28" s="24">
        <f>MAX(H29:H38)</f>
        <v>46351</v>
      </c>
      <c r="I28" s="23"/>
    </row>
    <row r="29" spans="1:9" ht="48" customHeight="1" x14ac:dyDescent="0.2">
      <c r="A29" s="25" t="s">
        <v>107</v>
      </c>
      <c r="B29" s="7" t="s">
        <v>108</v>
      </c>
      <c r="C29" s="8" t="s">
        <v>109</v>
      </c>
      <c r="D29" s="8" t="s">
        <v>110</v>
      </c>
      <c r="E29" s="9" t="s">
        <v>18</v>
      </c>
      <c r="F29" s="9">
        <v>5</v>
      </c>
      <c r="G29" s="10">
        <v>46308</v>
      </c>
      <c r="H29" s="10">
        <v>46314</v>
      </c>
      <c r="I29" s="9" t="s">
        <v>22</v>
      </c>
    </row>
    <row r="30" spans="1:9" ht="48" customHeight="1" x14ac:dyDescent="0.2">
      <c r="A30" s="25" t="s">
        <v>111</v>
      </c>
      <c r="B30" s="7" t="s">
        <v>112</v>
      </c>
      <c r="C30" s="8" t="s">
        <v>113</v>
      </c>
      <c r="D30" s="8" t="s">
        <v>114</v>
      </c>
      <c r="E30" s="9" t="s">
        <v>18</v>
      </c>
      <c r="F30" s="9">
        <v>5</v>
      </c>
      <c r="G30" s="10">
        <v>46315</v>
      </c>
      <c r="H30" s="10">
        <v>46321</v>
      </c>
      <c r="I30" s="9" t="s">
        <v>107</v>
      </c>
    </row>
    <row r="31" spans="1:9" ht="48" customHeight="1" x14ac:dyDescent="0.2">
      <c r="A31" s="25" t="s">
        <v>115</v>
      </c>
      <c r="B31" s="7" t="s">
        <v>116</v>
      </c>
      <c r="C31" s="8" t="s">
        <v>117</v>
      </c>
      <c r="D31" s="8" t="s">
        <v>118</v>
      </c>
      <c r="E31" s="9" t="s">
        <v>18</v>
      </c>
      <c r="F31" s="9">
        <v>5</v>
      </c>
      <c r="G31" s="10">
        <v>46322</v>
      </c>
      <c r="H31" s="10">
        <v>46329</v>
      </c>
      <c r="I31" s="9" t="s">
        <v>111</v>
      </c>
    </row>
    <row r="32" spans="1:9" ht="48" customHeight="1" x14ac:dyDescent="0.2">
      <c r="A32" s="25" t="s">
        <v>119</v>
      </c>
      <c r="B32" s="7" t="s">
        <v>120</v>
      </c>
      <c r="C32" s="8" t="s">
        <v>121</v>
      </c>
      <c r="D32" s="8" t="s">
        <v>122</v>
      </c>
      <c r="E32" s="9" t="s">
        <v>18</v>
      </c>
      <c r="F32" s="9">
        <v>5</v>
      </c>
      <c r="G32" s="10">
        <v>46330</v>
      </c>
      <c r="H32" s="10">
        <v>46336</v>
      </c>
      <c r="I32" s="9" t="s">
        <v>115</v>
      </c>
    </row>
    <row r="33" spans="1:9" ht="34" customHeight="1" x14ac:dyDescent="0.2">
      <c r="A33" s="25" t="s">
        <v>123</v>
      </c>
      <c r="B33" s="7" t="s">
        <v>124</v>
      </c>
      <c r="C33" s="8" t="s">
        <v>125</v>
      </c>
      <c r="D33" s="8" t="s">
        <v>126</v>
      </c>
      <c r="E33" s="9" t="s">
        <v>18</v>
      </c>
      <c r="F33" s="9">
        <v>10</v>
      </c>
      <c r="G33" s="10">
        <v>46330</v>
      </c>
      <c r="H33" s="10">
        <v>46344</v>
      </c>
      <c r="I33" s="9" t="s">
        <v>115</v>
      </c>
    </row>
    <row r="34" spans="1:9" ht="34" customHeight="1" x14ac:dyDescent="0.2">
      <c r="A34" s="25" t="s">
        <v>127</v>
      </c>
      <c r="B34" s="7" t="s">
        <v>128</v>
      </c>
      <c r="C34" s="8" t="s">
        <v>129</v>
      </c>
      <c r="D34" s="8" t="s">
        <v>128</v>
      </c>
      <c r="E34" s="9" t="s">
        <v>18</v>
      </c>
      <c r="F34" s="9">
        <v>5</v>
      </c>
      <c r="G34" s="10">
        <v>46330</v>
      </c>
      <c r="H34" s="10">
        <v>46336</v>
      </c>
      <c r="I34" s="9" t="s">
        <v>115</v>
      </c>
    </row>
    <row r="35" spans="1:9" ht="48" customHeight="1" x14ac:dyDescent="0.2">
      <c r="A35" s="25" t="s">
        <v>130</v>
      </c>
      <c r="B35" s="7" t="s">
        <v>131</v>
      </c>
      <c r="C35" s="8" t="s">
        <v>132</v>
      </c>
      <c r="D35" s="8" t="s">
        <v>133</v>
      </c>
      <c r="E35" s="9" t="s">
        <v>59</v>
      </c>
      <c r="F35" s="9">
        <v>5</v>
      </c>
      <c r="G35" s="10">
        <v>46330</v>
      </c>
      <c r="H35" s="10">
        <v>46336</v>
      </c>
      <c r="I35" s="9" t="s">
        <v>115</v>
      </c>
    </row>
    <row r="36" spans="1:9" ht="48" customHeight="1" x14ac:dyDescent="0.2">
      <c r="A36" s="25" t="s">
        <v>134</v>
      </c>
      <c r="B36" s="7" t="s">
        <v>135</v>
      </c>
      <c r="C36" s="8" t="s">
        <v>136</v>
      </c>
      <c r="D36" s="8" t="s">
        <v>137</v>
      </c>
      <c r="E36" s="9" t="s">
        <v>59</v>
      </c>
      <c r="F36" s="9">
        <v>5</v>
      </c>
      <c r="G36" s="10">
        <v>46337</v>
      </c>
      <c r="H36" s="10">
        <v>46344</v>
      </c>
      <c r="I36" s="9" t="s">
        <v>130</v>
      </c>
    </row>
    <row r="37" spans="1:9" ht="34" customHeight="1" x14ac:dyDescent="0.2">
      <c r="A37" s="25" t="s">
        <v>138</v>
      </c>
      <c r="B37" s="7" t="s">
        <v>139</v>
      </c>
      <c r="C37" s="8" t="s">
        <v>140</v>
      </c>
      <c r="D37" s="8" t="s">
        <v>139</v>
      </c>
      <c r="E37" s="9" t="s">
        <v>59</v>
      </c>
      <c r="F37" s="9">
        <v>5</v>
      </c>
      <c r="G37" s="10">
        <v>46345</v>
      </c>
      <c r="H37" s="10">
        <v>46351</v>
      </c>
      <c r="I37" s="9" t="s">
        <v>134</v>
      </c>
    </row>
    <row r="38" spans="1:9" ht="48" customHeight="1" x14ac:dyDescent="0.2">
      <c r="A38" s="25" t="s">
        <v>141</v>
      </c>
      <c r="B38" s="7" t="s">
        <v>142</v>
      </c>
      <c r="C38" s="8" t="s">
        <v>143</v>
      </c>
      <c r="D38" s="8" t="s">
        <v>142</v>
      </c>
      <c r="E38" s="9" t="s">
        <v>59</v>
      </c>
      <c r="F38" s="9">
        <v>5</v>
      </c>
      <c r="G38" s="10">
        <v>46345</v>
      </c>
      <c r="H38" s="10">
        <v>46351</v>
      </c>
      <c r="I38" s="9" t="s">
        <v>134</v>
      </c>
    </row>
    <row r="39" spans="1:9" ht="22" customHeight="1" x14ac:dyDescent="0.2">
      <c r="A39" s="26" t="s">
        <v>144</v>
      </c>
      <c r="B39" s="26" t="s">
        <v>145</v>
      </c>
      <c r="C39" s="26" t="s">
        <v>29</v>
      </c>
      <c r="D39" s="26"/>
      <c r="E39" s="26"/>
      <c r="F39" s="26"/>
      <c r="G39" s="27">
        <f>MIN(G40:G44)</f>
        <v>46322</v>
      </c>
      <c r="H39" s="27">
        <f>MAX(H40:H44)</f>
        <v>46351</v>
      </c>
      <c r="I39" s="26"/>
    </row>
    <row r="40" spans="1:9" ht="48" customHeight="1" x14ac:dyDescent="0.2">
      <c r="A40" s="28" t="s">
        <v>146</v>
      </c>
      <c r="B40" s="7" t="s">
        <v>147</v>
      </c>
      <c r="C40" s="8" t="s">
        <v>148</v>
      </c>
      <c r="D40" s="8" t="s">
        <v>149</v>
      </c>
      <c r="E40" s="9" t="s">
        <v>26</v>
      </c>
      <c r="F40" s="9">
        <v>10</v>
      </c>
      <c r="G40" s="10">
        <v>46322</v>
      </c>
      <c r="H40" s="10">
        <v>46336</v>
      </c>
      <c r="I40" s="9" t="s">
        <v>150</v>
      </c>
    </row>
    <row r="41" spans="1:9" ht="48" customHeight="1" x14ac:dyDescent="0.2">
      <c r="A41" s="28" t="s">
        <v>151</v>
      </c>
      <c r="B41" s="7" t="s">
        <v>152</v>
      </c>
      <c r="C41" s="8" t="s">
        <v>153</v>
      </c>
      <c r="D41" s="8" t="s">
        <v>154</v>
      </c>
      <c r="E41" s="9" t="s">
        <v>26</v>
      </c>
      <c r="F41" s="9">
        <v>5</v>
      </c>
      <c r="G41" s="10">
        <v>46337</v>
      </c>
      <c r="H41" s="10">
        <v>46344</v>
      </c>
      <c r="I41" s="9" t="s">
        <v>146</v>
      </c>
    </row>
    <row r="42" spans="1:9" ht="48" customHeight="1" x14ac:dyDescent="0.2">
      <c r="A42" s="28" t="s">
        <v>155</v>
      </c>
      <c r="B42" s="7" t="s">
        <v>156</v>
      </c>
      <c r="C42" s="8" t="s">
        <v>157</v>
      </c>
      <c r="D42" s="8" t="s">
        <v>158</v>
      </c>
      <c r="E42" s="9" t="s">
        <v>26</v>
      </c>
      <c r="F42" s="9">
        <v>5</v>
      </c>
      <c r="G42" s="10">
        <v>46337</v>
      </c>
      <c r="H42" s="10">
        <v>46344</v>
      </c>
      <c r="I42" s="9" t="s">
        <v>146</v>
      </c>
    </row>
    <row r="43" spans="1:9" ht="48" customHeight="1" x14ac:dyDescent="0.2">
      <c r="A43" s="28" t="s">
        <v>159</v>
      </c>
      <c r="B43" s="7" t="s">
        <v>160</v>
      </c>
      <c r="C43" s="8" t="s">
        <v>161</v>
      </c>
      <c r="D43" s="8" t="s">
        <v>162</v>
      </c>
      <c r="E43" s="9" t="s">
        <v>26</v>
      </c>
      <c r="F43" s="9">
        <v>5</v>
      </c>
      <c r="G43" s="10">
        <v>46337</v>
      </c>
      <c r="H43" s="10">
        <v>46344</v>
      </c>
      <c r="I43" s="9" t="s">
        <v>146</v>
      </c>
    </row>
    <row r="44" spans="1:9" ht="48" customHeight="1" x14ac:dyDescent="0.2">
      <c r="A44" s="28" t="s">
        <v>163</v>
      </c>
      <c r="B44" s="7" t="s">
        <v>164</v>
      </c>
      <c r="C44" s="8" t="s">
        <v>165</v>
      </c>
      <c r="D44" s="8" t="s">
        <v>166</v>
      </c>
      <c r="E44" s="9" t="s">
        <v>26</v>
      </c>
      <c r="F44" s="9">
        <v>5</v>
      </c>
      <c r="G44" s="10">
        <v>46345</v>
      </c>
      <c r="H44" s="10">
        <v>46351</v>
      </c>
      <c r="I44" s="9" t="s">
        <v>167</v>
      </c>
    </row>
    <row r="45" spans="1:9" ht="22" customHeight="1" x14ac:dyDescent="0.2">
      <c r="A45" s="29" t="s">
        <v>168</v>
      </c>
      <c r="B45" s="29" t="s">
        <v>169</v>
      </c>
      <c r="C45" s="29" t="s">
        <v>29</v>
      </c>
      <c r="D45" s="29"/>
      <c r="E45" s="29"/>
      <c r="F45" s="29"/>
      <c r="G45" s="30">
        <f>MIN(G46:G50)</f>
        <v>46322</v>
      </c>
      <c r="H45" s="30">
        <f>MAX(H46:H50)</f>
        <v>46358</v>
      </c>
      <c r="I45" s="29"/>
    </row>
    <row r="46" spans="1:9" ht="48" customHeight="1" x14ac:dyDescent="0.2">
      <c r="A46" s="31" t="s">
        <v>170</v>
      </c>
      <c r="B46" s="7" t="s">
        <v>171</v>
      </c>
      <c r="C46" s="8" t="s">
        <v>172</v>
      </c>
      <c r="D46" s="8" t="s">
        <v>173</v>
      </c>
      <c r="E46" s="9" t="s">
        <v>174</v>
      </c>
      <c r="F46" s="9">
        <v>5</v>
      </c>
      <c r="G46" s="10">
        <v>46322</v>
      </c>
      <c r="H46" s="10">
        <v>46329</v>
      </c>
      <c r="I46" s="9" t="s">
        <v>111</v>
      </c>
    </row>
    <row r="47" spans="1:9" ht="48" customHeight="1" x14ac:dyDescent="0.2">
      <c r="A47" s="31" t="s">
        <v>175</v>
      </c>
      <c r="B47" s="7" t="s">
        <v>176</v>
      </c>
      <c r="C47" s="8" t="s">
        <v>177</v>
      </c>
      <c r="D47" s="8" t="s">
        <v>178</v>
      </c>
      <c r="E47" s="9" t="s">
        <v>174</v>
      </c>
      <c r="F47" s="9">
        <v>5</v>
      </c>
      <c r="G47" s="10">
        <v>46330</v>
      </c>
      <c r="H47" s="10">
        <v>46336</v>
      </c>
      <c r="I47" s="9" t="s">
        <v>179</v>
      </c>
    </row>
    <row r="48" spans="1:9" ht="48" customHeight="1" x14ac:dyDescent="0.2">
      <c r="A48" s="31" t="s">
        <v>180</v>
      </c>
      <c r="B48" s="7" t="s">
        <v>181</v>
      </c>
      <c r="C48" s="8" t="s">
        <v>182</v>
      </c>
      <c r="D48" s="8" t="s">
        <v>183</v>
      </c>
      <c r="E48" s="9" t="s">
        <v>174</v>
      </c>
      <c r="F48" s="9">
        <v>5</v>
      </c>
      <c r="G48" s="10">
        <v>46337</v>
      </c>
      <c r="H48" s="10">
        <v>46344</v>
      </c>
      <c r="I48" s="9" t="s">
        <v>175</v>
      </c>
    </row>
    <row r="49" spans="1:9" ht="48" customHeight="1" x14ac:dyDescent="0.2">
      <c r="A49" s="31" t="s">
        <v>184</v>
      </c>
      <c r="B49" s="7" t="s">
        <v>185</v>
      </c>
      <c r="C49" s="8" t="s">
        <v>186</v>
      </c>
      <c r="D49" s="8" t="s">
        <v>187</v>
      </c>
      <c r="E49" s="9" t="s">
        <v>174</v>
      </c>
      <c r="F49" s="9">
        <v>10</v>
      </c>
      <c r="G49" s="10">
        <v>46337</v>
      </c>
      <c r="H49" s="10">
        <v>46351</v>
      </c>
      <c r="I49" s="9" t="s">
        <v>175</v>
      </c>
    </row>
    <row r="50" spans="1:9" ht="34" customHeight="1" x14ac:dyDescent="0.2">
      <c r="A50" s="31" t="s">
        <v>188</v>
      </c>
      <c r="B50" s="7" t="s">
        <v>189</v>
      </c>
      <c r="C50" s="8" t="s">
        <v>190</v>
      </c>
      <c r="D50" s="8" t="s">
        <v>191</v>
      </c>
      <c r="E50" s="9" t="s">
        <v>174</v>
      </c>
      <c r="F50" s="9">
        <v>5</v>
      </c>
      <c r="G50" s="10">
        <v>46352</v>
      </c>
      <c r="H50" s="10">
        <v>46358</v>
      </c>
      <c r="I50" s="9" t="s">
        <v>192</v>
      </c>
    </row>
    <row r="51" spans="1:9" ht="22" customHeight="1" x14ac:dyDescent="0.2">
      <c r="A51" s="32" t="s">
        <v>193</v>
      </c>
      <c r="B51" s="32" t="s">
        <v>194</v>
      </c>
      <c r="C51" s="32" t="s">
        <v>195</v>
      </c>
      <c r="D51" s="32"/>
      <c r="E51" s="32"/>
      <c r="F51" s="32"/>
      <c r="G51" s="33">
        <f>MIN(G52:G57)</f>
        <v>46322</v>
      </c>
      <c r="H51" s="33">
        <f>MAX(H52:H57)</f>
        <v>46358</v>
      </c>
      <c r="I51" s="32"/>
    </row>
    <row r="52" spans="1:9" ht="34" customHeight="1" x14ac:dyDescent="0.2">
      <c r="A52" s="34" t="s">
        <v>196</v>
      </c>
      <c r="B52" s="7" t="s">
        <v>197</v>
      </c>
      <c r="C52" s="8" t="s">
        <v>198</v>
      </c>
      <c r="D52" s="8" t="s">
        <v>199</v>
      </c>
      <c r="E52" s="9" t="s">
        <v>200</v>
      </c>
      <c r="F52" s="9">
        <v>5</v>
      </c>
      <c r="G52" s="10">
        <v>46322</v>
      </c>
      <c r="H52" s="10">
        <v>46329</v>
      </c>
      <c r="I52" s="9" t="s">
        <v>111</v>
      </c>
    </row>
    <row r="53" spans="1:9" ht="48" customHeight="1" x14ac:dyDescent="0.2">
      <c r="A53" s="34" t="s">
        <v>201</v>
      </c>
      <c r="B53" s="7" t="s">
        <v>202</v>
      </c>
      <c r="C53" s="8" t="s">
        <v>203</v>
      </c>
      <c r="D53" s="8" t="s">
        <v>204</v>
      </c>
      <c r="E53" s="9" t="s">
        <v>200</v>
      </c>
      <c r="F53" s="9">
        <v>10</v>
      </c>
      <c r="G53" s="10">
        <v>46330</v>
      </c>
      <c r="H53" s="10">
        <v>46344</v>
      </c>
      <c r="I53" s="9" t="s">
        <v>196</v>
      </c>
    </row>
    <row r="54" spans="1:9" ht="34" customHeight="1" x14ac:dyDescent="0.2">
      <c r="A54" s="34" t="s">
        <v>205</v>
      </c>
      <c r="B54" s="7" t="s">
        <v>206</v>
      </c>
      <c r="C54" s="8" t="s">
        <v>207</v>
      </c>
      <c r="D54" s="8" t="s">
        <v>208</v>
      </c>
      <c r="E54" s="9" t="s">
        <v>209</v>
      </c>
      <c r="F54" s="9">
        <v>10</v>
      </c>
      <c r="G54" s="10">
        <v>46330</v>
      </c>
      <c r="H54" s="10">
        <v>46344</v>
      </c>
      <c r="I54" s="9" t="s">
        <v>210</v>
      </c>
    </row>
    <row r="55" spans="1:9" ht="48" customHeight="1" x14ac:dyDescent="0.2">
      <c r="A55" s="34" t="s">
        <v>211</v>
      </c>
      <c r="B55" s="7" t="s">
        <v>212</v>
      </c>
      <c r="C55" s="8" t="s">
        <v>213</v>
      </c>
      <c r="D55" s="8" t="s">
        <v>214</v>
      </c>
      <c r="E55" s="9" t="s">
        <v>200</v>
      </c>
      <c r="F55" s="9">
        <v>10</v>
      </c>
      <c r="G55" s="10">
        <v>46330</v>
      </c>
      <c r="H55" s="10">
        <v>46344</v>
      </c>
      <c r="I55" s="9" t="s">
        <v>196</v>
      </c>
    </row>
    <row r="56" spans="1:9" ht="34" customHeight="1" x14ac:dyDescent="0.2">
      <c r="A56" s="34" t="s">
        <v>215</v>
      </c>
      <c r="B56" s="7" t="s">
        <v>216</v>
      </c>
      <c r="C56" s="8" t="s">
        <v>217</v>
      </c>
      <c r="D56" s="8" t="s">
        <v>218</v>
      </c>
      <c r="E56" s="9" t="s">
        <v>209</v>
      </c>
      <c r="F56" s="9">
        <v>5</v>
      </c>
      <c r="G56" s="10">
        <v>46345</v>
      </c>
      <c r="H56" s="10">
        <v>46351</v>
      </c>
      <c r="I56" s="9" t="s">
        <v>219</v>
      </c>
    </row>
    <row r="57" spans="1:9" ht="48" customHeight="1" x14ac:dyDescent="0.2">
      <c r="A57" s="34" t="s">
        <v>220</v>
      </c>
      <c r="B57" s="7" t="s">
        <v>221</v>
      </c>
      <c r="C57" s="8" t="s">
        <v>222</v>
      </c>
      <c r="D57" s="8" t="s">
        <v>223</v>
      </c>
      <c r="E57" s="9" t="s">
        <v>209</v>
      </c>
      <c r="F57" s="9">
        <v>5</v>
      </c>
      <c r="G57" s="10">
        <v>46352</v>
      </c>
      <c r="H57" s="10">
        <v>46358</v>
      </c>
      <c r="I57" s="9" t="s">
        <v>224</v>
      </c>
    </row>
    <row r="58" spans="1:9" ht="22" customHeight="1" x14ac:dyDescent="0.2">
      <c r="A58" s="35" t="s">
        <v>225</v>
      </c>
      <c r="B58" s="35" t="s">
        <v>226</v>
      </c>
      <c r="C58" s="35" t="s">
        <v>227</v>
      </c>
      <c r="D58" s="35"/>
      <c r="E58" s="35"/>
      <c r="F58" s="35"/>
      <c r="G58" s="36">
        <f>MIN(G59:G65)</f>
        <v>46337</v>
      </c>
      <c r="H58" s="36">
        <f>MAX(H59:H65)</f>
        <v>46373</v>
      </c>
      <c r="I58" s="35"/>
    </row>
    <row r="59" spans="1:9" ht="34" customHeight="1" x14ac:dyDescent="0.2">
      <c r="A59" s="37" t="s">
        <v>228</v>
      </c>
      <c r="B59" s="7" t="s">
        <v>229</v>
      </c>
      <c r="C59" s="8" t="s">
        <v>230</v>
      </c>
      <c r="D59" s="8" t="s">
        <v>229</v>
      </c>
      <c r="E59" s="9" t="s">
        <v>26</v>
      </c>
      <c r="F59" s="9">
        <v>5</v>
      </c>
      <c r="G59" s="10">
        <v>46337</v>
      </c>
      <c r="H59" s="10">
        <v>46344</v>
      </c>
      <c r="I59" s="9" t="s">
        <v>146</v>
      </c>
    </row>
    <row r="60" spans="1:9" ht="62" customHeight="1" x14ac:dyDescent="0.2">
      <c r="A60" s="37" t="s">
        <v>231</v>
      </c>
      <c r="B60" s="7" t="s">
        <v>232</v>
      </c>
      <c r="C60" s="8" t="s">
        <v>233</v>
      </c>
      <c r="D60" s="8" t="s">
        <v>234</v>
      </c>
      <c r="E60" s="9" t="s">
        <v>26</v>
      </c>
      <c r="F60" s="9">
        <v>5</v>
      </c>
      <c r="G60" s="10">
        <v>46345</v>
      </c>
      <c r="H60" s="10">
        <v>46351</v>
      </c>
      <c r="I60" s="9" t="s">
        <v>235</v>
      </c>
    </row>
    <row r="61" spans="1:9" ht="48" customHeight="1" x14ac:dyDescent="0.2">
      <c r="A61" s="37" t="s">
        <v>236</v>
      </c>
      <c r="B61" s="7" t="s">
        <v>237</v>
      </c>
      <c r="C61" s="8" t="s">
        <v>238</v>
      </c>
      <c r="D61" s="8" t="s">
        <v>239</v>
      </c>
      <c r="E61" s="9" t="s">
        <v>59</v>
      </c>
      <c r="F61" s="9">
        <v>5</v>
      </c>
      <c r="G61" s="10">
        <v>46337</v>
      </c>
      <c r="H61" s="10">
        <v>46344</v>
      </c>
      <c r="I61" s="9" t="s">
        <v>240</v>
      </c>
    </row>
    <row r="62" spans="1:9" ht="34" customHeight="1" x14ac:dyDescent="0.2">
      <c r="A62" s="37" t="s">
        <v>241</v>
      </c>
      <c r="B62" s="7" t="s">
        <v>242</v>
      </c>
      <c r="C62" s="8" t="s">
        <v>243</v>
      </c>
      <c r="D62" s="8" t="s">
        <v>242</v>
      </c>
      <c r="E62" s="9" t="s">
        <v>59</v>
      </c>
      <c r="F62" s="9">
        <v>5</v>
      </c>
      <c r="G62" s="10">
        <v>46345</v>
      </c>
      <c r="H62" s="10">
        <v>46351</v>
      </c>
      <c r="I62" s="9" t="s">
        <v>244</v>
      </c>
    </row>
    <row r="63" spans="1:9" ht="48" customHeight="1" x14ac:dyDescent="0.2">
      <c r="A63" s="37" t="s">
        <v>245</v>
      </c>
      <c r="B63" s="7" t="s">
        <v>246</v>
      </c>
      <c r="C63" s="8" t="s">
        <v>247</v>
      </c>
      <c r="D63" s="8" t="s">
        <v>246</v>
      </c>
      <c r="E63" s="9" t="s">
        <v>59</v>
      </c>
      <c r="F63" s="9">
        <v>5</v>
      </c>
      <c r="G63" s="10">
        <v>46352</v>
      </c>
      <c r="H63" s="10">
        <v>46358</v>
      </c>
      <c r="I63" s="9" t="s">
        <v>248</v>
      </c>
    </row>
    <row r="64" spans="1:9" ht="34" customHeight="1" x14ac:dyDescent="0.2">
      <c r="A64" s="37" t="s">
        <v>249</v>
      </c>
      <c r="B64" s="7" t="s">
        <v>250</v>
      </c>
      <c r="C64" s="8" t="s">
        <v>251</v>
      </c>
      <c r="D64" s="8" t="s">
        <v>250</v>
      </c>
      <c r="E64" s="9" t="s">
        <v>59</v>
      </c>
      <c r="F64" s="9">
        <v>5</v>
      </c>
      <c r="G64" s="10">
        <v>46359</v>
      </c>
      <c r="H64" s="10">
        <v>46366</v>
      </c>
      <c r="I64" s="9" t="s">
        <v>252</v>
      </c>
    </row>
    <row r="65" spans="1:9" ht="48" customHeight="1" x14ac:dyDescent="0.2">
      <c r="A65" s="37" t="s">
        <v>253</v>
      </c>
      <c r="B65" s="7" t="s">
        <v>254</v>
      </c>
      <c r="C65" s="8" t="s">
        <v>255</v>
      </c>
      <c r="D65" s="8" t="s">
        <v>256</v>
      </c>
      <c r="E65" s="9" t="s">
        <v>59</v>
      </c>
      <c r="F65" s="9">
        <v>5</v>
      </c>
      <c r="G65" s="10">
        <v>46367</v>
      </c>
      <c r="H65" s="10">
        <v>46373</v>
      </c>
      <c r="I65" s="9" t="s">
        <v>249</v>
      </c>
    </row>
    <row r="66" spans="1:9" ht="22" customHeight="1" x14ac:dyDescent="0.2">
      <c r="A66" s="38" t="s">
        <v>257</v>
      </c>
      <c r="B66" s="38" t="s">
        <v>258</v>
      </c>
      <c r="C66" s="38" t="s">
        <v>259</v>
      </c>
      <c r="D66" s="38"/>
      <c r="E66" s="38"/>
      <c r="F66" s="38"/>
      <c r="G66" s="39">
        <f>MIN(G67:G78)</f>
        <v>46374</v>
      </c>
      <c r="H66" s="39">
        <f>MAX(H67:H78)</f>
        <v>46500</v>
      </c>
      <c r="I66" s="38"/>
    </row>
    <row r="67" spans="1:9" ht="34" customHeight="1" x14ac:dyDescent="0.2">
      <c r="A67" s="40" t="s">
        <v>260</v>
      </c>
      <c r="B67" s="7" t="s">
        <v>261</v>
      </c>
      <c r="C67" s="8" t="s">
        <v>262</v>
      </c>
      <c r="D67" s="8" t="s">
        <v>263</v>
      </c>
      <c r="E67" s="9" t="s">
        <v>264</v>
      </c>
      <c r="F67" s="9">
        <v>5</v>
      </c>
      <c r="G67" s="10">
        <v>46374</v>
      </c>
      <c r="H67" s="10">
        <v>46399</v>
      </c>
      <c r="I67" s="9" t="s">
        <v>253</v>
      </c>
    </row>
    <row r="68" spans="1:9" ht="48" customHeight="1" x14ac:dyDescent="0.2">
      <c r="A68" s="40" t="s">
        <v>265</v>
      </c>
      <c r="B68" s="7" t="s">
        <v>266</v>
      </c>
      <c r="C68" s="8" t="s">
        <v>267</v>
      </c>
      <c r="D68" s="8" t="s">
        <v>268</v>
      </c>
      <c r="E68" s="9" t="s">
        <v>264</v>
      </c>
      <c r="F68" s="9">
        <v>5</v>
      </c>
      <c r="G68" s="10">
        <v>46374</v>
      </c>
      <c r="H68" s="10">
        <v>46399</v>
      </c>
      <c r="I68" s="9" t="s">
        <v>253</v>
      </c>
    </row>
    <row r="69" spans="1:9" ht="48" customHeight="1" x14ac:dyDescent="0.2">
      <c r="A69" s="40" t="s">
        <v>269</v>
      </c>
      <c r="B69" s="7" t="s">
        <v>270</v>
      </c>
      <c r="C69" s="8" t="s">
        <v>271</v>
      </c>
      <c r="D69" s="8" t="s">
        <v>272</v>
      </c>
      <c r="E69" s="9" t="s">
        <v>264</v>
      </c>
      <c r="F69" s="9">
        <v>10</v>
      </c>
      <c r="G69" s="10">
        <v>46395</v>
      </c>
      <c r="H69" s="10">
        <v>46409</v>
      </c>
      <c r="I69" s="9" t="s">
        <v>273</v>
      </c>
    </row>
    <row r="70" spans="1:9" ht="48" customHeight="1" x14ac:dyDescent="0.2">
      <c r="A70" s="40" t="s">
        <v>274</v>
      </c>
      <c r="B70" s="7" t="s">
        <v>275</v>
      </c>
      <c r="C70" s="8" t="s">
        <v>276</v>
      </c>
      <c r="D70" s="8" t="s">
        <v>277</v>
      </c>
      <c r="E70" s="9" t="s">
        <v>264</v>
      </c>
      <c r="F70" s="9">
        <v>25</v>
      </c>
      <c r="G70" s="10">
        <v>46412</v>
      </c>
      <c r="H70" s="10">
        <v>46444</v>
      </c>
      <c r="I70" s="9" t="s">
        <v>269</v>
      </c>
    </row>
    <row r="71" spans="1:9" ht="34" customHeight="1" x14ac:dyDescent="0.2">
      <c r="A71" s="40" t="s">
        <v>278</v>
      </c>
      <c r="B71" s="7" t="s">
        <v>279</v>
      </c>
      <c r="C71" s="8" t="s">
        <v>280</v>
      </c>
      <c r="D71" s="8" t="s">
        <v>281</v>
      </c>
      <c r="E71" s="9" t="s">
        <v>264</v>
      </c>
      <c r="F71" s="9">
        <v>5</v>
      </c>
      <c r="G71" s="10">
        <v>46442</v>
      </c>
      <c r="H71" s="10">
        <v>46448</v>
      </c>
      <c r="I71" s="9" t="s">
        <v>282</v>
      </c>
    </row>
    <row r="72" spans="1:9" ht="48" customHeight="1" x14ac:dyDescent="0.2">
      <c r="A72" s="40" t="s">
        <v>283</v>
      </c>
      <c r="B72" s="7" t="s">
        <v>284</v>
      </c>
      <c r="C72" s="8" t="s">
        <v>285</v>
      </c>
      <c r="D72" s="8" t="s">
        <v>286</v>
      </c>
      <c r="E72" s="9" t="s">
        <v>264</v>
      </c>
      <c r="F72" s="9">
        <v>20</v>
      </c>
      <c r="G72" s="10">
        <v>46412</v>
      </c>
      <c r="H72" s="10">
        <v>46437</v>
      </c>
      <c r="I72" s="9" t="s">
        <v>269</v>
      </c>
    </row>
    <row r="73" spans="1:9" ht="34" customHeight="1" x14ac:dyDescent="0.2">
      <c r="A73" s="40" t="s">
        <v>287</v>
      </c>
      <c r="B73" s="7" t="s">
        <v>288</v>
      </c>
      <c r="C73" s="8" t="s">
        <v>289</v>
      </c>
      <c r="D73" s="8" t="s">
        <v>290</v>
      </c>
      <c r="E73" s="9" t="s">
        <v>264</v>
      </c>
      <c r="F73" s="9">
        <v>5</v>
      </c>
      <c r="G73" s="10">
        <v>46449</v>
      </c>
      <c r="H73" s="10">
        <v>46455</v>
      </c>
      <c r="I73" s="9" t="s">
        <v>291</v>
      </c>
    </row>
    <row r="74" spans="1:9" ht="48" customHeight="1" x14ac:dyDescent="0.2">
      <c r="A74" s="40" t="s">
        <v>292</v>
      </c>
      <c r="B74" s="7" t="s">
        <v>293</v>
      </c>
      <c r="C74" s="8" t="s">
        <v>294</v>
      </c>
      <c r="D74" s="8" t="s">
        <v>295</v>
      </c>
      <c r="E74" s="9" t="s">
        <v>264</v>
      </c>
      <c r="F74" s="9">
        <v>10</v>
      </c>
      <c r="G74" s="10">
        <v>46456</v>
      </c>
      <c r="H74" s="10">
        <v>46470</v>
      </c>
      <c r="I74" s="9" t="s">
        <v>296</v>
      </c>
    </row>
    <row r="75" spans="1:9" ht="48" customHeight="1" x14ac:dyDescent="0.2">
      <c r="A75" s="40" t="s">
        <v>297</v>
      </c>
      <c r="B75" s="7" t="s">
        <v>298</v>
      </c>
      <c r="C75" s="8" t="s">
        <v>299</v>
      </c>
      <c r="D75" s="8" t="s">
        <v>300</v>
      </c>
      <c r="E75" s="9" t="s">
        <v>264</v>
      </c>
      <c r="F75" s="9">
        <v>10</v>
      </c>
      <c r="G75" s="10">
        <v>46461</v>
      </c>
      <c r="H75" s="10">
        <v>46477</v>
      </c>
      <c r="I75" s="9" t="s">
        <v>301</v>
      </c>
    </row>
    <row r="76" spans="1:9" ht="48" customHeight="1" x14ac:dyDescent="0.2">
      <c r="A76" s="40" t="s">
        <v>302</v>
      </c>
      <c r="B76" s="7" t="s">
        <v>303</v>
      </c>
      <c r="C76" s="8" t="s">
        <v>304</v>
      </c>
      <c r="D76" s="8" t="s">
        <v>305</v>
      </c>
      <c r="E76" s="9" t="s">
        <v>264</v>
      </c>
      <c r="F76" s="9">
        <v>5</v>
      </c>
      <c r="G76" s="10">
        <v>46475</v>
      </c>
      <c r="H76" s="10">
        <v>46479</v>
      </c>
      <c r="I76" s="9" t="s">
        <v>306</v>
      </c>
    </row>
    <row r="77" spans="1:9" ht="48" customHeight="1" x14ac:dyDescent="0.2">
      <c r="A77" s="40" t="s">
        <v>307</v>
      </c>
      <c r="B77" s="7" t="s">
        <v>308</v>
      </c>
      <c r="C77" s="8" t="s">
        <v>309</v>
      </c>
      <c r="D77" s="8" t="s">
        <v>310</v>
      </c>
      <c r="E77" s="9" t="s">
        <v>264</v>
      </c>
      <c r="F77" s="9">
        <v>10</v>
      </c>
      <c r="G77" s="10">
        <v>46482</v>
      </c>
      <c r="H77" s="10">
        <v>46493</v>
      </c>
      <c r="I77" s="9" t="s">
        <v>311</v>
      </c>
    </row>
    <row r="78" spans="1:9" ht="48" customHeight="1" x14ac:dyDescent="0.2">
      <c r="A78" s="40" t="s">
        <v>312</v>
      </c>
      <c r="B78" s="7" t="s">
        <v>313</v>
      </c>
      <c r="C78" s="8" t="s">
        <v>314</v>
      </c>
      <c r="D78" s="8" t="s">
        <v>315</v>
      </c>
      <c r="E78" s="9" t="s">
        <v>264</v>
      </c>
      <c r="F78" s="9">
        <v>5</v>
      </c>
      <c r="G78" s="10">
        <v>46496</v>
      </c>
      <c r="H78" s="10">
        <v>46500</v>
      </c>
      <c r="I78" s="9" t="s">
        <v>307</v>
      </c>
    </row>
    <row r="79" spans="1:9" ht="22" customHeight="1" x14ac:dyDescent="0.2">
      <c r="A79" s="41" t="s">
        <v>316</v>
      </c>
      <c r="B79" s="41" t="s">
        <v>317</v>
      </c>
      <c r="C79" s="41" t="s">
        <v>227</v>
      </c>
      <c r="D79" s="41"/>
      <c r="E79" s="41"/>
      <c r="F79" s="41"/>
      <c r="G79" s="42">
        <f>MIN(G80:G86)</f>
        <v>46496</v>
      </c>
      <c r="H79" s="42">
        <f>MAX(H80:H86)</f>
        <v>46583</v>
      </c>
      <c r="I79" s="41"/>
    </row>
    <row r="80" spans="1:9" ht="34" customHeight="1" x14ac:dyDescent="0.2">
      <c r="A80" s="43" t="s">
        <v>318</v>
      </c>
      <c r="B80" s="7" t="s">
        <v>319</v>
      </c>
      <c r="C80" s="8" t="s">
        <v>320</v>
      </c>
      <c r="D80" s="8" t="s">
        <v>321</v>
      </c>
      <c r="E80" s="9" t="s">
        <v>264</v>
      </c>
      <c r="F80" s="9">
        <v>5</v>
      </c>
      <c r="G80" s="10">
        <v>46496</v>
      </c>
      <c r="H80" s="10">
        <v>46500</v>
      </c>
      <c r="I80" s="9" t="s">
        <v>307</v>
      </c>
    </row>
    <row r="81" spans="1:9" ht="48" customHeight="1" x14ac:dyDescent="0.2">
      <c r="A81" s="43" t="s">
        <v>322</v>
      </c>
      <c r="B81" s="7" t="s">
        <v>323</v>
      </c>
      <c r="C81" s="8" t="s">
        <v>324</v>
      </c>
      <c r="D81" s="8" t="s">
        <v>325</v>
      </c>
      <c r="E81" s="9" t="s">
        <v>264</v>
      </c>
      <c r="F81" s="9">
        <v>10</v>
      </c>
      <c r="G81" s="10">
        <v>46503</v>
      </c>
      <c r="H81" s="10">
        <v>46514</v>
      </c>
      <c r="I81" s="9" t="s">
        <v>326</v>
      </c>
    </row>
    <row r="82" spans="1:9" ht="48" customHeight="1" x14ac:dyDescent="0.2">
      <c r="A82" s="43" t="s">
        <v>327</v>
      </c>
      <c r="B82" s="7" t="s">
        <v>328</v>
      </c>
      <c r="C82" s="8" t="s">
        <v>329</v>
      </c>
      <c r="D82" s="8" t="s">
        <v>330</v>
      </c>
      <c r="E82" s="9" t="s">
        <v>264</v>
      </c>
      <c r="F82" s="9">
        <v>35</v>
      </c>
      <c r="G82" s="10">
        <v>46518</v>
      </c>
      <c r="H82" s="10">
        <v>46568</v>
      </c>
      <c r="I82" s="9" t="s">
        <v>322</v>
      </c>
    </row>
    <row r="83" spans="1:9" ht="48" customHeight="1" x14ac:dyDescent="0.2">
      <c r="A83" s="43" t="s">
        <v>331</v>
      </c>
      <c r="B83" s="7" t="s">
        <v>332</v>
      </c>
      <c r="C83" s="8" t="s">
        <v>333</v>
      </c>
      <c r="D83" s="8" t="s">
        <v>334</v>
      </c>
      <c r="E83" s="9" t="s">
        <v>26</v>
      </c>
      <c r="F83" s="9">
        <v>5</v>
      </c>
      <c r="G83" s="10">
        <v>46569</v>
      </c>
      <c r="H83" s="10">
        <v>46576</v>
      </c>
      <c r="I83" s="9" t="s">
        <v>327</v>
      </c>
    </row>
    <row r="84" spans="1:9" ht="34" customHeight="1" x14ac:dyDescent="0.2">
      <c r="A84" s="43" t="s">
        <v>335</v>
      </c>
      <c r="B84" s="7" t="s">
        <v>336</v>
      </c>
      <c r="C84" s="8" t="s">
        <v>337</v>
      </c>
      <c r="D84" s="8" t="s">
        <v>338</v>
      </c>
      <c r="E84" s="9" t="s">
        <v>264</v>
      </c>
      <c r="F84" s="9">
        <v>10</v>
      </c>
      <c r="G84" s="10">
        <v>46503</v>
      </c>
      <c r="H84" s="10">
        <v>46514</v>
      </c>
      <c r="I84" s="9" t="s">
        <v>312</v>
      </c>
    </row>
    <row r="85" spans="1:9" ht="48" customHeight="1" x14ac:dyDescent="0.2">
      <c r="A85" s="43" t="s">
        <v>339</v>
      </c>
      <c r="B85" s="7" t="s">
        <v>340</v>
      </c>
      <c r="C85" s="8" t="s">
        <v>341</v>
      </c>
      <c r="D85" s="8" t="s">
        <v>342</v>
      </c>
      <c r="E85" s="9" t="s">
        <v>264</v>
      </c>
      <c r="F85" s="9">
        <v>25</v>
      </c>
      <c r="G85" s="10">
        <v>46518</v>
      </c>
      <c r="H85" s="10">
        <v>46554</v>
      </c>
      <c r="I85" s="9" t="s">
        <v>322</v>
      </c>
    </row>
    <row r="86" spans="1:9" ht="48" customHeight="1" x14ac:dyDescent="0.2">
      <c r="A86" s="43" t="s">
        <v>343</v>
      </c>
      <c r="B86" s="7" t="s">
        <v>344</v>
      </c>
      <c r="C86" s="8" t="s">
        <v>345</v>
      </c>
      <c r="D86" s="8" t="s">
        <v>346</v>
      </c>
      <c r="E86" s="9" t="s">
        <v>59</v>
      </c>
      <c r="F86" s="9">
        <v>5</v>
      </c>
      <c r="G86" s="10">
        <v>46577</v>
      </c>
      <c r="H86" s="10">
        <v>46583</v>
      </c>
      <c r="I86" s="9" t="s">
        <v>347</v>
      </c>
    </row>
  </sheetData>
  <autoFilter ref="A4:I86" xr:uid="{00000000-0009-0000-0000-000000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EDT Tabla</vt:lpstr>
      <vt:lpstr>'EDT Tabla'!Títulos_a_imprimir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 Gongora Rasmussen</cp:lastModifiedBy>
  <dcterms:created xsi:type="dcterms:W3CDTF">2026-10-11T19:43:47Z</dcterms:created>
  <dcterms:modified xsi:type="dcterms:W3CDTF">2026-10-12T04:48:33Z</dcterms:modified>
</cp:coreProperties>
</file>